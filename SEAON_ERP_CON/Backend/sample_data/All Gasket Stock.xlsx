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1ABB90E3-602D-439E-8D0E-040138F295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7" r:id="rId2"/>
  </sheets>
  <definedNames>
    <definedName name="_xlnm._FilterDatabase" localSheetId="0" hidden="1">Sheet1!$A$51:$I$69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7" l="1"/>
  <c r="I18" i="7" s="1"/>
  <c r="A18" i="7"/>
  <c r="H17" i="7"/>
  <c r="I17" i="7" s="1"/>
  <c r="A17" i="7"/>
  <c r="H16" i="7"/>
  <c r="I16" i="7" s="1"/>
  <c r="A16" i="7"/>
  <c r="I15" i="7"/>
  <c r="I21" i="1"/>
  <c r="I2" i="1"/>
  <c r="I25" i="1"/>
  <c r="I29" i="1"/>
  <c r="I30" i="1"/>
  <c r="I31" i="1"/>
  <c r="I32" i="1"/>
  <c r="I35" i="1"/>
  <c r="I51" i="1"/>
  <c r="I68" i="1"/>
  <c r="I69" i="1"/>
  <c r="I72" i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A83" i="1"/>
  <c r="A82" i="1"/>
  <c r="A81" i="1"/>
  <c r="A80" i="1"/>
  <c r="A79" i="1"/>
  <c r="A78" i="1"/>
  <c r="A77" i="1"/>
  <c r="A76" i="1"/>
  <c r="A75" i="1"/>
  <c r="A74" i="1"/>
  <c r="A73" i="1"/>
  <c r="H67" i="1"/>
  <c r="I67" i="1" s="1"/>
  <c r="A67" i="1"/>
  <c r="H66" i="1"/>
  <c r="I66" i="1" s="1"/>
  <c r="A66" i="1"/>
  <c r="H65" i="1"/>
  <c r="I65" i="1" s="1"/>
  <c r="A65" i="1"/>
  <c r="H64" i="1"/>
  <c r="I64" i="1" s="1"/>
  <c r="A64" i="1"/>
  <c r="H63" i="1"/>
  <c r="I63" i="1" s="1"/>
  <c r="A63" i="1"/>
  <c r="H62" i="1"/>
  <c r="I62" i="1" s="1"/>
  <c r="A62" i="1"/>
  <c r="H61" i="1"/>
  <c r="I61" i="1" s="1"/>
  <c r="A61" i="1"/>
  <c r="H60" i="1"/>
  <c r="I60" i="1" s="1"/>
  <c r="A60" i="1"/>
  <c r="H59" i="1"/>
  <c r="I59" i="1" s="1"/>
  <c r="A59" i="1"/>
  <c r="H58" i="1"/>
  <c r="I58" i="1" s="1"/>
  <c r="A58" i="1"/>
  <c r="H57" i="1"/>
  <c r="I57" i="1" s="1"/>
  <c r="A57" i="1"/>
  <c r="H56" i="1"/>
  <c r="I56" i="1" s="1"/>
  <c r="A56" i="1"/>
  <c r="H55" i="1"/>
  <c r="I55" i="1" s="1"/>
  <c r="A55" i="1"/>
  <c r="H54" i="1"/>
  <c r="I54" i="1" s="1"/>
  <c r="A54" i="1"/>
  <c r="H53" i="1"/>
  <c r="I53" i="1" s="1"/>
  <c r="A53" i="1"/>
  <c r="H52" i="1"/>
  <c r="I52" i="1" s="1"/>
  <c r="A52" i="1"/>
  <c r="H48" i="1"/>
  <c r="I48" i="1" s="1"/>
  <c r="A48" i="1"/>
  <c r="H47" i="1"/>
  <c r="I47" i="1" s="1"/>
  <c r="A47" i="1"/>
  <c r="H46" i="1"/>
  <c r="I46" i="1" s="1"/>
  <c r="A46" i="1"/>
  <c r="H45" i="1"/>
  <c r="I45" i="1" s="1"/>
  <c r="A45" i="1"/>
  <c r="H44" i="1"/>
  <c r="I44" i="1" s="1"/>
  <c r="A44" i="1"/>
  <c r="H43" i="1"/>
  <c r="I43" i="1" s="1"/>
  <c r="A43" i="1"/>
  <c r="H42" i="1"/>
  <c r="I42" i="1" s="1"/>
  <c r="A42" i="1"/>
  <c r="H41" i="1"/>
  <c r="I41" i="1" s="1"/>
  <c r="A41" i="1"/>
  <c r="H40" i="1"/>
  <c r="I40" i="1" s="1"/>
  <c r="A40" i="1"/>
  <c r="H39" i="1"/>
  <c r="I39" i="1" s="1"/>
  <c r="A39" i="1"/>
  <c r="H38" i="1"/>
  <c r="I38" i="1" s="1"/>
  <c r="A38" i="1"/>
  <c r="H37" i="1"/>
  <c r="I37" i="1" s="1"/>
  <c r="A37" i="1"/>
  <c r="H36" i="1"/>
  <c r="I36" i="1" s="1"/>
  <c r="A36" i="1"/>
  <c r="H22" i="1"/>
  <c r="I22" i="1" s="1"/>
  <c r="H21" i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A32" i="1"/>
  <c r="A31" i="1"/>
  <c r="A30" i="1"/>
  <c r="A29" i="1"/>
  <c r="H28" i="1"/>
  <c r="I28" i="1" s="1"/>
  <c r="A28" i="1"/>
  <c r="H27" i="1"/>
  <c r="I27" i="1" s="1"/>
  <c r="A27" i="1"/>
  <c r="H26" i="1"/>
  <c r="I26" i="1" s="1"/>
  <c r="A26" i="1"/>
  <c r="A9" i="1"/>
  <c r="A10" i="1"/>
  <c r="A14" i="1"/>
  <c r="A5" i="1"/>
  <c r="A6" i="1"/>
  <c r="A7" i="1"/>
  <c r="A8" i="1"/>
  <c r="A11" i="1"/>
  <c r="A12" i="1"/>
  <c r="A13" i="1"/>
  <c r="A15" i="1"/>
  <c r="A16" i="1"/>
  <c r="A17" i="1"/>
  <c r="A18" i="1"/>
  <c r="A19" i="1"/>
  <c r="A20" i="1"/>
  <c r="A21" i="1"/>
  <c r="A22" i="1"/>
  <c r="A4" i="1"/>
  <c r="A3" i="1"/>
</calcChain>
</file>

<file path=xl/sharedStrings.xml><?xml version="1.0" encoding="utf-8"?>
<sst xmlns="http://schemas.openxmlformats.org/spreadsheetml/2006/main" count="113" uniqueCount="17">
  <si>
    <t>S.No</t>
  </si>
  <si>
    <t>Thickness (mm)</t>
  </si>
  <si>
    <t>Width (mm)</t>
  </si>
  <si>
    <t>Length (meters)</t>
  </si>
  <si>
    <t>MINIMUM STOCK</t>
  </si>
  <si>
    <t>AVAILABLE STOCK</t>
  </si>
  <si>
    <t>REQUIRED STOCK</t>
  </si>
  <si>
    <t>MINIMUM STOCK(On Order)</t>
  </si>
  <si>
    <t>Units of Measure</t>
  </si>
  <si>
    <t>Boxes</t>
  </si>
  <si>
    <t>Gasket Blue</t>
  </si>
  <si>
    <t>Normal White Gasket</t>
  </si>
  <si>
    <t>SOFT WHITE</t>
  </si>
  <si>
    <t>Units Of Measure</t>
  </si>
  <si>
    <t>Soft Black Gasket</t>
  </si>
  <si>
    <t>Nos</t>
  </si>
  <si>
    <t>Black Gasket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</si>
</sst>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" fillId="2" borderId="14" xfId="0" applyFont="1" applyFill="1" applyBorder="1" applyAlignment="1">
      <alignment horizontal="center" vertical="top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7" borderId="4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4" fontId="0" fillId="0" borderId="0" xfId="0" applyNumberFormat="1"/>
    <xf numFmtId="0" fontId="2" fillId="4" borderId="2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topLeftCell="A73" zoomScaleNormal="100" workbookViewId="0">
      <selection activeCell="M51" sqref="M51"/>
    </sheetView>
  </sheetViews>
  <sheetFormatPr defaultRowHeight="14.25" x14ac:dyDescent="0.45"/>
  <cols>
    <col min="1" max="1" width="6.1328125" style="1" customWidth="1"/>
    <col min="2" max="2" width="9.265625" style="1" customWidth="1"/>
    <col min="3" max="3" width="9.86328125" style="1" customWidth="1"/>
    <col min="4" max="4" width="10.3984375" style="1" customWidth="1"/>
    <col min="5" max="5" width="11.59765625" style="1" customWidth="1"/>
    <col min="6" max="6" width="10.86328125" style="1" customWidth="1"/>
    <col min="7" max="7" width="15.1328125" style="13" customWidth="1"/>
    <col min="8" max="8" width="10.3984375" customWidth="1"/>
    <col min="9" max="9" width="12.86328125" style="1" customWidth="1"/>
    <col min="10" max="10" width="9.9296875" bestFit="1" customWidth="1"/>
  </cols>
  <sheetData>
    <row r="1" spans="1:10" ht="21.4" thickBot="1" x14ac:dyDescent="0.7">
      <c r="A1" s="36" t="s">
        <v>16</v>
      </c>
      <c r="B1" s="37"/>
      <c r="C1" s="37"/>
      <c r="D1" s="37"/>
      <c r="E1" s="37"/>
      <c r="F1" s="37"/>
      <c r="G1" s="37"/>
      <c r="H1" s="37"/>
      <c r="I1" s="37"/>
      <c r="J1" s="35">
        <v>45745</v>
      </c>
    </row>
    <row r="2" spans="1:10" ht="28.5" x14ac:dyDescent="0.45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8</v>
      </c>
      <c r="G2" s="12" t="s">
        <v>5</v>
      </c>
      <c r="H2" s="10" t="s">
        <v>6</v>
      </c>
      <c r="I2" s="21" t="str">
        <f>IF(H2&gt;0, H2, 0)</f>
        <v>REQUIRED STOCK</v>
      </c>
    </row>
    <row r="3" spans="1:10" x14ac:dyDescent="0.45">
      <c r="A3" s="14">
        <f>ROW()-2</f>
        <v>1</v>
      </c>
      <c r="B3" s="15">
        <v>3</v>
      </c>
      <c r="C3" s="15">
        <v>12</v>
      </c>
      <c r="D3" s="15">
        <v>10</v>
      </c>
      <c r="E3" s="15">
        <v>3000</v>
      </c>
      <c r="F3" s="15" t="s">
        <v>15</v>
      </c>
      <c r="G3" s="15">
        <v>3952</v>
      </c>
      <c r="H3" s="20">
        <f t="shared" ref="H3:H22" si="0">E3-G3</f>
        <v>-952</v>
      </c>
      <c r="I3" s="33">
        <f t="shared" ref="I3:I66" si="1">IF(H3&gt;0, H3, 0)</f>
        <v>0</v>
      </c>
    </row>
    <row r="4" spans="1:10" x14ac:dyDescent="0.45">
      <c r="A4" s="14">
        <f>ROW()-2</f>
        <v>2</v>
      </c>
      <c r="B4" s="15">
        <v>3</v>
      </c>
      <c r="C4" s="15">
        <v>15</v>
      </c>
      <c r="D4" s="15">
        <v>10</v>
      </c>
      <c r="E4" s="15">
        <v>1000</v>
      </c>
      <c r="F4" s="15" t="s">
        <v>15</v>
      </c>
      <c r="G4" s="15">
        <v>1530</v>
      </c>
      <c r="H4" s="20">
        <f t="shared" si="0"/>
        <v>-530</v>
      </c>
      <c r="I4" s="33">
        <f t="shared" si="1"/>
        <v>0</v>
      </c>
    </row>
    <row r="5" spans="1:10" x14ac:dyDescent="0.45">
      <c r="A5" s="14">
        <f t="shared" ref="A5:A22" si="2">ROW()-2</f>
        <v>3</v>
      </c>
      <c r="B5" s="15">
        <v>3</v>
      </c>
      <c r="C5" s="15">
        <v>20</v>
      </c>
      <c r="D5" s="15">
        <v>10</v>
      </c>
      <c r="E5" s="15">
        <v>10000</v>
      </c>
      <c r="F5" s="15" t="s">
        <v>15</v>
      </c>
      <c r="G5" s="15">
        <v>13672</v>
      </c>
      <c r="H5" s="20">
        <f t="shared" si="0"/>
        <v>-3672</v>
      </c>
      <c r="I5" s="33">
        <f t="shared" si="1"/>
        <v>0</v>
      </c>
    </row>
    <row r="6" spans="1:10" x14ac:dyDescent="0.45">
      <c r="A6" s="14">
        <f t="shared" si="2"/>
        <v>4</v>
      </c>
      <c r="B6" s="15">
        <v>3</v>
      </c>
      <c r="C6" s="15">
        <v>25</v>
      </c>
      <c r="D6" s="15">
        <v>10</v>
      </c>
      <c r="E6" s="15">
        <v>10000</v>
      </c>
      <c r="F6" s="15" t="s">
        <v>15</v>
      </c>
      <c r="G6" s="15">
        <v>8586</v>
      </c>
      <c r="H6" s="20">
        <f t="shared" si="0"/>
        <v>1414</v>
      </c>
      <c r="I6" s="33">
        <f t="shared" si="1"/>
        <v>1414</v>
      </c>
    </row>
    <row r="7" spans="1:10" x14ac:dyDescent="0.45">
      <c r="A7" s="14">
        <f t="shared" si="2"/>
        <v>5</v>
      </c>
      <c r="B7" s="15">
        <v>3</v>
      </c>
      <c r="C7" s="15">
        <v>30</v>
      </c>
      <c r="D7" s="15">
        <v>10</v>
      </c>
      <c r="E7" s="15">
        <v>1500</v>
      </c>
      <c r="F7" s="15" t="s">
        <v>15</v>
      </c>
      <c r="G7" s="15">
        <v>580</v>
      </c>
      <c r="H7" s="20">
        <f t="shared" si="0"/>
        <v>920</v>
      </c>
      <c r="I7" s="33">
        <f t="shared" si="1"/>
        <v>920</v>
      </c>
    </row>
    <row r="8" spans="1:10" x14ac:dyDescent="0.45">
      <c r="A8" s="14">
        <f t="shared" si="2"/>
        <v>6</v>
      </c>
      <c r="B8" s="15">
        <v>3</v>
      </c>
      <c r="C8" s="15">
        <v>40</v>
      </c>
      <c r="D8" s="15">
        <v>10</v>
      </c>
      <c r="E8" s="15">
        <v>1500</v>
      </c>
      <c r="F8" s="15" t="s">
        <v>15</v>
      </c>
      <c r="G8" s="15">
        <v>1148</v>
      </c>
      <c r="H8" s="20">
        <f t="shared" si="0"/>
        <v>352</v>
      </c>
      <c r="I8" s="33">
        <f t="shared" si="1"/>
        <v>352</v>
      </c>
    </row>
    <row r="9" spans="1:10" x14ac:dyDescent="0.45">
      <c r="A9" s="14">
        <f t="shared" si="2"/>
        <v>7</v>
      </c>
      <c r="B9" s="15">
        <v>3</v>
      </c>
      <c r="C9" s="15">
        <v>50</v>
      </c>
      <c r="D9" s="15">
        <v>10</v>
      </c>
      <c r="E9" s="15">
        <v>0</v>
      </c>
      <c r="F9" s="15" t="s">
        <v>15</v>
      </c>
      <c r="G9" s="15">
        <v>300</v>
      </c>
      <c r="H9" s="20">
        <f t="shared" si="0"/>
        <v>-300</v>
      </c>
      <c r="I9" s="33">
        <f t="shared" si="1"/>
        <v>0</v>
      </c>
    </row>
    <row r="10" spans="1:10" x14ac:dyDescent="0.45">
      <c r="A10" s="14">
        <f t="shared" si="2"/>
        <v>8</v>
      </c>
      <c r="B10" s="15">
        <v>4</v>
      </c>
      <c r="C10" s="15">
        <v>12</v>
      </c>
      <c r="D10" s="15">
        <v>10</v>
      </c>
      <c r="E10" s="15">
        <v>0</v>
      </c>
      <c r="F10" s="15" t="s">
        <v>15</v>
      </c>
      <c r="G10" s="15">
        <v>1400</v>
      </c>
      <c r="H10" s="20">
        <f t="shared" si="0"/>
        <v>-1400</v>
      </c>
      <c r="I10" s="33">
        <f t="shared" si="1"/>
        <v>0</v>
      </c>
    </row>
    <row r="11" spans="1:10" x14ac:dyDescent="0.45">
      <c r="A11" s="14">
        <f t="shared" si="2"/>
        <v>9</v>
      </c>
      <c r="B11" s="15">
        <v>4</v>
      </c>
      <c r="C11" s="15">
        <v>20</v>
      </c>
      <c r="D11" s="15">
        <v>10</v>
      </c>
      <c r="E11" s="15">
        <v>4000</v>
      </c>
      <c r="F11" s="15" t="s">
        <v>15</v>
      </c>
      <c r="G11" s="15">
        <v>1050</v>
      </c>
      <c r="H11" s="20">
        <f t="shared" si="0"/>
        <v>2950</v>
      </c>
      <c r="I11" s="33">
        <f t="shared" si="1"/>
        <v>2950</v>
      </c>
    </row>
    <row r="12" spans="1:10" x14ac:dyDescent="0.45">
      <c r="A12" s="14">
        <f t="shared" si="2"/>
        <v>10</v>
      </c>
      <c r="B12" s="15">
        <v>4</v>
      </c>
      <c r="C12" s="15">
        <v>30</v>
      </c>
      <c r="D12" s="15">
        <v>10</v>
      </c>
      <c r="E12" s="15">
        <v>2000</v>
      </c>
      <c r="F12" s="15" t="s">
        <v>15</v>
      </c>
      <c r="G12" s="15">
        <v>1300</v>
      </c>
      <c r="H12" s="20">
        <f t="shared" si="0"/>
        <v>700</v>
      </c>
      <c r="I12" s="33">
        <f t="shared" si="1"/>
        <v>700</v>
      </c>
    </row>
    <row r="13" spans="1:10" x14ac:dyDescent="0.45">
      <c r="A13" s="14">
        <f t="shared" si="2"/>
        <v>11</v>
      </c>
      <c r="B13" s="15">
        <v>5</v>
      </c>
      <c r="C13" s="15">
        <v>12</v>
      </c>
      <c r="D13" s="15">
        <v>10</v>
      </c>
      <c r="E13" s="15">
        <v>4000</v>
      </c>
      <c r="F13" s="15" t="s">
        <v>15</v>
      </c>
      <c r="G13" s="15">
        <v>2928</v>
      </c>
      <c r="H13" s="20">
        <f t="shared" si="0"/>
        <v>1072</v>
      </c>
      <c r="I13" s="33">
        <f t="shared" si="1"/>
        <v>1072</v>
      </c>
    </row>
    <row r="14" spans="1:10" x14ac:dyDescent="0.45">
      <c r="A14" s="14">
        <f t="shared" si="2"/>
        <v>12</v>
      </c>
      <c r="B14" s="15">
        <v>5</v>
      </c>
      <c r="C14" s="15">
        <v>15</v>
      </c>
      <c r="D14" s="15">
        <v>10</v>
      </c>
      <c r="E14" s="15">
        <v>0</v>
      </c>
      <c r="F14" s="15" t="s">
        <v>15</v>
      </c>
      <c r="G14" s="15">
        <v>120</v>
      </c>
      <c r="H14" s="20">
        <f t="shared" si="0"/>
        <v>-120</v>
      </c>
      <c r="I14" s="33">
        <f t="shared" si="1"/>
        <v>0</v>
      </c>
    </row>
    <row r="15" spans="1:10" x14ac:dyDescent="0.45">
      <c r="A15" s="14">
        <f t="shared" si="2"/>
        <v>13</v>
      </c>
      <c r="B15" s="15">
        <v>5</v>
      </c>
      <c r="C15" s="15">
        <v>20</v>
      </c>
      <c r="D15" s="15">
        <v>10</v>
      </c>
      <c r="E15" s="15">
        <v>500</v>
      </c>
      <c r="F15" s="15" t="s">
        <v>15</v>
      </c>
      <c r="G15" s="15">
        <v>1225</v>
      </c>
      <c r="H15" s="20">
        <f t="shared" si="0"/>
        <v>-725</v>
      </c>
      <c r="I15" s="33">
        <f t="shared" si="1"/>
        <v>0</v>
      </c>
    </row>
    <row r="16" spans="1:10" x14ac:dyDescent="0.45">
      <c r="A16" s="14">
        <f t="shared" si="2"/>
        <v>14</v>
      </c>
      <c r="B16" s="15">
        <v>5</v>
      </c>
      <c r="C16" s="15">
        <v>25</v>
      </c>
      <c r="D16" s="15">
        <v>10</v>
      </c>
      <c r="E16" s="15">
        <v>2000</v>
      </c>
      <c r="F16" s="15" t="s">
        <v>15</v>
      </c>
      <c r="G16" s="15">
        <v>572</v>
      </c>
      <c r="H16" s="20">
        <f t="shared" si="0"/>
        <v>1428</v>
      </c>
      <c r="I16" s="33">
        <f t="shared" si="1"/>
        <v>1428</v>
      </c>
    </row>
    <row r="17" spans="1:9" x14ac:dyDescent="0.45">
      <c r="A17" s="14">
        <f t="shared" si="2"/>
        <v>15</v>
      </c>
      <c r="B17" s="15">
        <v>5</v>
      </c>
      <c r="C17" s="15">
        <v>30</v>
      </c>
      <c r="D17" s="15">
        <v>10</v>
      </c>
      <c r="E17" s="15">
        <v>500</v>
      </c>
      <c r="F17" s="15" t="s">
        <v>15</v>
      </c>
      <c r="G17" s="15">
        <v>792</v>
      </c>
      <c r="H17" s="20">
        <f t="shared" si="0"/>
        <v>-292</v>
      </c>
      <c r="I17" s="33">
        <f t="shared" si="1"/>
        <v>0</v>
      </c>
    </row>
    <row r="18" spans="1:9" x14ac:dyDescent="0.45">
      <c r="A18" s="14">
        <f t="shared" si="2"/>
        <v>16</v>
      </c>
      <c r="B18" s="15">
        <v>5</v>
      </c>
      <c r="C18" s="15">
        <v>40</v>
      </c>
      <c r="D18" s="15">
        <v>10</v>
      </c>
      <c r="E18" s="15">
        <v>500</v>
      </c>
      <c r="F18" s="15" t="s">
        <v>15</v>
      </c>
      <c r="G18" s="15">
        <v>182</v>
      </c>
      <c r="H18" s="20">
        <f t="shared" si="0"/>
        <v>318</v>
      </c>
      <c r="I18" s="33">
        <f t="shared" si="1"/>
        <v>318</v>
      </c>
    </row>
    <row r="19" spans="1:9" x14ac:dyDescent="0.45">
      <c r="A19" s="14">
        <f t="shared" si="2"/>
        <v>17</v>
      </c>
      <c r="B19" s="15">
        <v>6</v>
      </c>
      <c r="C19" s="15">
        <v>12</v>
      </c>
      <c r="D19" s="15">
        <v>10</v>
      </c>
      <c r="E19" s="15">
        <v>2000</v>
      </c>
      <c r="F19" s="15" t="s">
        <v>15</v>
      </c>
      <c r="G19" s="15">
        <v>900</v>
      </c>
      <c r="H19" s="20">
        <f t="shared" si="0"/>
        <v>1100</v>
      </c>
      <c r="I19" s="33">
        <f t="shared" si="1"/>
        <v>1100</v>
      </c>
    </row>
    <row r="20" spans="1:9" x14ac:dyDescent="0.45">
      <c r="A20" s="14">
        <f t="shared" si="2"/>
        <v>18</v>
      </c>
      <c r="B20" s="15">
        <v>6</v>
      </c>
      <c r="C20" s="15">
        <v>25</v>
      </c>
      <c r="D20" s="15">
        <v>10</v>
      </c>
      <c r="E20" s="15">
        <v>1000</v>
      </c>
      <c r="F20" s="15" t="s">
        <v>15</v>
      </c>
      <c r="G20" s="15">
        <v>720</v>
      </c>
      <c r="H20" s="20">
        <f t="shared" si="0"/>
        <v>280</v>
      </c>
      <c r="I20" s="33">
        <f t="shared" si="1"/>
        <v>280</v>
      </c>
    </row>
    <row r="21" spans="1:9" x14ac:dyDescent="0.45">
      <c r="A21" s="14">
        <f t="shared" si="2"/>
        <v>19</v>
      </c>
      <c r="B21" s="15">
        <v>6</v>
      </c>
      <c r="C21" s="15">
        <v>30</v>
      </c>
      <c r="D21" s="15">
        <v>10</v>
      </c>
      <c r="E21" s="15">
        <v>0</v>
      </c>
      <c r="F21" s="15" t="s">
        <v>15</v>
      </c>
      <c r="G21" s="15">
        <v>570</v>
      </c>
      <c r="H21" s="20">
        <f t="shared" si="0"/>
        <v>-570</v>
      </c>
      <c r="I21" s="33">
        <f t="shared" si="1"/>
        <v>0</v>
      </c>
    </row>
    <row r="22" spans="1:9" ht="14.65" thickBot="1" x14ac:dyDescent="0.5">
      <c r="A22" s="16">
        <f t="shared" si="2"/>
        <v>20</v>
      </c>
      <c r="B22" s="17">
        <v>6</v>
      </c>
      <c r="C22" s="17">
        <v>40</v>
      </c>
      <c r="D22" s="17">
        <v>10</v>
      </c>
      <c r="E22" s="17">
        <v>0</v>
      </c>
      <c r="F22" s="17" t="s">
        <v>15</v>
      </c>
      <c r="G22" s="17">
        <v>928</v>
      </c>
      <c r="H22" s="22">
        <f t="shared" si="0"/>
        <v>-928</v>
      </c>
      <c r="I22" s="34">
        <f t="shared" si="1"/>
        <v>0</v>
      </c>
    </row>
    <row r="23" spans="1:9" ht="14.65" thickBot="1" x14ac:dyDescent="0.5"/>
    <row r="24" spans="1:9" ht="21.4" thickBot="1" x14ac:dyDescent="0.7">
      <c r="A24" s="39" t="s">
        <v>10</v>
      </c>
      <c r="B24" s="40"/>
      <c r="C24" s="40"/>
      <c r="D24" s="40"/>
      <c r="E24" s="40"/>
      <c r="F24" s="40"/>
      <c r="G24" s="40"/>
      <c r="H24" s="41"/>
    </row>
    <row r="25" spans="1:9" ht="28.5" x14ac:dyDescent="0.45">
      <c r="A25" s="11" t="s">
        <v>0</v>
      </c>
      <c r="B25" s="12" t="s">
        <v>1</v>
      </c>
      <c r="C25" s="12" t="s">
        <v>2</v>
      </c>
      <c r="D25" s="12" t="s">
        <v>3</v>
      </c>
      <c r="E25" s="12" t="s">
        <v>4</v>
      </c>
      <c r="F25" s="12" t="s">
        <v>8</v>
      </c>
      <c r="G25" s="12" t="s">
        <v>5</v>
      </c>
      <c r="H25" s="12" t="s">
        <v>6</v>
      </c>
      <c r="I25" s="31" t="str">
        <f t="shared" si="1"/>
        <v>REQUIRED STOCK</v>
      </c>
    </row>
    <row r="26" spans="1:9" x14ac:dyDescent="0.45">
      <c r="A26" s="3">
        <f>ROW()-2</f>
        <v>24</v>
      </c>
      <c r="B26" s="2">
        <v>3</v>
      </c>
      <c r="C26" s="2">
        <v>20</v>
      </c>
      <c r="D26" s="2">
        <v>10</v>
      </c>
      <c r="E26" s="2">
        <v>15</v>
      </c>
      <c r="F26" s="2" t="s">
        <v>9</v>
      </c>
      <c r="G26" s="2"/>
      <c r="H26" s="2">
        <f>E26-G26</f>
        <v>15</v>
      </c>
      <c r="I26" s="4">
        <f t="shared" si="1"/>
        <v>15</v>
      </c>
    </row>
    <row r="27" spans="1:9" x14ac:dyDescent="0.45">
      <c r="A27" s="3">
        <f t="shared" ref="A27:A32" si="3">ROW()-2</f>
        <v>25</v>
      </c>
      <c r="B27" s="2">
        <v>3</v>
      </c>
      <c r="C27" s="2">
        <v>25</v>
      </c>
      <c r="D27" s="2">
        <v>10</v>
      </c>
      <c r="E27" s="2">
        <v>20</v>
      </c>
      <c r="F27" s="2" t="s">
        <v>9</v>
      </c>
      <c r="G27" s="2">
        <v>14</v>
      </c>
      <c r="H27" s="2">
        <f t="shared" ref="H27:H28" si="4">E27-G27</f>
        <v>6</v>
      </c>
      <c r="I27" s="4">
        <f t="shared" si="1"/>
        <v>6</v>
      </c>
    </row>
    <row r="28" spans="1:9" x14ac:dyDescent="0.45">
      <c r="A28" s="3">
        <f t="shared" si="3"/>
        <v>26</v>
      </c>
      <c r="B28" s="2">
        <v>3</v>
      </c>
      <c r="C28" s="2">
        <v>30</v>
      </c>
      <c r="D28" s="2">
        <v>10</v>
      </c>
      <c r="E28" s="2">
        <v>25</v>
      </c>
      <c r="F28" s="2" t="s">
        <v>9</v>
      </c>
      <c r="G28" s="2"/>
      <c r="H28" s="2">
        <f t="shared" si="4"/>
        <v>25</v>
      </c>
      <c r="I28" s="4">
        <f t="shared" si="1"/>
        <v>25</v>
      </c>
    </row>
    <row r="29" spans="1:9" x14ac:dyDescent="0.45">
      <c r="A29" s="3">
        <f t="shared" si="3"/>
        <v>27</v>
      </c>
      <c r="B29" s="2"/>
      <c r="C29" s="2"/>
      <c r="D29" s="2"/>
      <c r="E29" s="2"/>
      <c r="F29" s="2"/>
      <c r="G29" s="2"/>
      <c r="H29" s="2"/>
      <c r="I29" s="4">
        <f t="shared" si="1"/>
        <v>0</v>
      </c>
    </row>
    <row r="30" spans="1:9" x14ac:dyDescent="0.45">
      <c r="A30" s="3">
        <f t="shared" si="3"/>
        <v>28</v>
      </c>
      <c r="B30" s="2"/>
      <c r="C30" s="2"/>
      <c r="D30" s="2"/>
      <c r="E30" s="2"/>
      <c r="F30" s="2"/>
      <c r="G30" s="2"/>
      <c r="H30" s="2"/>
      <c r="I30" s="4">
        <f t="shared" si="1"/>
        <v>0</v>
      </c>
    </row>
    <row r="31" spans="1:9" x14ac:dyDescent="0.45">
      <c r="A31" s="3">
        <f t="shared" si="3"/>
        <v>29</v>
      </c>
      <c r="B31" s="2"/>
      <c r="C31" s="2"/>
      <c r="D31" s="2"/>
      <c r="E31" s="2"/>
      <c r="F31" s="2"/>
      <c r="G31" s="2"/>
      <c r="H31" s="2"/>
      <c r="I31" s="4">
        <f t="shared" si="1"/>
        <v>0</v>
      </c>
    </row>
    <row r="32" spans="1:9" ht="14.65" thickBot="1" x14ac:dyDescent="0.5">
      <c r="A32" s="5">
        <f t="shared" si="3"/>
        <v>30</v>
      </c>
      <c r="B32" s="6"/>
      <c r="C32" s="6"/>
      <c r="D32" s="6"/>
      <c r="E32" s="6"/>
      <c r="F32" s="6"/>
      <c r="G32" s="6"/>
      <c r="H32" s="6"/>
      <c r="I32" s="23">
        <f t="shared" si="1"/>
        <v>0</v>
      </c>
    </row>
    <row r="33" spans="1:9" ht="14.65" thickBot="1" x14ac:dyDescent="0.5"/>
    <row r="34" spans="1:9" ht="21.4" thickBot="1" x14ac:dyDescent="0.7">
      <c r="A34" s="42" t="s">
        <v>11</v>
      </c>
      <c r="B34" s="43"/>
      <c r="C34" s="43"/>
      <c r="D34" s="43"/>
      <c r="E34" s="43"/>
      <c r="F34" s="43"/>
      <c r="G34" s="43"/>
      <c r="H34" s="44"/>
    </row>
    <row r="35" spans="1:9" ht="28.5" x14ac:dyDescent="0.45">
      <c r="A35" s="8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19" t="s">
        <v>13</v>
      </c>
      <c r="G35" s="7" t="s">
        <v>5</v>
      </c>
      <c r="H35" s="24" t="s">
        <v>6</v>
      </c>
      <c r="I35" s="32" t="str">
        <f t="shared" si="1"/>
        <v>REQUIRED STOCK</v>
      </c>
    </row>
    <row r="36" spans="1:9" x14ac:dyDescent="0.45">
      <c r="A36" s="14">
        <f>ROW()-2</f>
        <v>34</v>
      </c>
      <c r="B36" s="15">
        <v>3</v>
      </c>
      <c r="C36" s="15">
        <v>20</v>
      </c>
      <c r="D36" s="15">
        <v>10</v>
      </c>
      <c r="E36" s="15"/>
      <c r="F36" s="2"/>
      <c r="G36" s="15">
        <v>336</v>
      </c>
      <c r="H36" s="25">
        <f t="shared" ref="H36:H48" si="5">E36-G36</f>
        <v>-336</v>
      </c>
      <c r="I36" s="27">
        <f t="shared" si="1"/>
        <v>0</v>
      </c>
    </row>
    <row r="37" spans="1:9" x14ac:dyDescent="0.45">
      <c r="A37" s="14">
        <f t="shared" ref="A37:A48" si="6">ROW()-2</f>
        <v>35</v>
      </c>
      <c r="B37" s="15">
        <v>3</v>
      </c>
      <c r="C37" s="15">
        <v>25</v>
      </c>
      <c r="D37" s="15">
        <v>10</v>
      </c>
      <c r="E37" s="15"/>
      <c r="F37" s="2"/>
      <c r="G37" s="15">
        <v>352</v>
      </c>
      <c r="H37" s="25">
        <f t="shared" si="5"/>
        <v>-352</v>
      </c>
      <c r="I37" s="27">
        <f t="shared" si="1"/>
        <v>0</v>
      </c>
    </row>
    <row r="38" spans="1:9" x14ac:dyDescent="0.45">
      <c r="A38" s="14">
        <f t="shared" si="6"/>
        <v>36</v>
      </c>
      <c r="B38" s="15">
        <v>3</v>
      </c>
      <c r="C38" s="15">
        <v>30</v>
      </c>
      <c r="D38" s="15">
        <v>10</v>
      </c>
      <c r="E38" s="15"/>
      <c r="F38" s="2"/>
      <c r="G38" s="15"/>
      <c r="H38" s="25">
        <f t="shared" si="5"/>
        <v>0</v>
      </c>
      <c r="I38" s="27">
        <f t="shared" si="1"/>
        <v>0</v>
      </c>
    </row>
    <row r="39" spans="1:9" x14ac:dyDescent="0.45">
      <c r="A39" s="14">
        <f t="shared" si="6"/>
        <v>37</v>
      </c>
      <c r="B39" s="15">
        <v>3</v>
      </c>
      <c r="C39" s="15">
        <v>40</v>
      </c>
      <c r="D39" s="15">
        <v>10</v>
      </c>
      <c r="E39" s="15"/>
      <c r="F39" s="2"/>
      <c r="G39" s="15"/>
      <c r="H39" s="25">
        <f t="shared" si="5"/>
        <v>0</v>
      </c>
      <c r="I39" s="27">
        <f t="shared" si="1"/>
        <v>0</v>
      </c>
    </row>
    <row r="40" spans="1:9" x14ac:dyDescent="0.45">
      <c r="A40" s="14">
        <f t="shared" si="6"/>
        <v>38</v>
      </c>
      <c r="B40" s="15">
        <v>3</v>
      </c>
      <c r="C40" s="15">
        <v>50</v>
      </c>
      <c r="D40" s="15">
        <v>10</v>
      </c>
      <c r="E40" s="15"/>
      <c r="F40" s="2"/>
      <c r="G40" s="15"/>
      <c r="H40" s="25">
        <f t="shared" si="5"/>
        <v>0</v>
      </c>
      <c r="I40" s="27">
        <f t="shared" si="1"/>
        <v>0</v>
      </c>
    </row>
    <row r="41" spans="1:9" x14ac:dyDescent="0.45">
      <c r="A41" s="14">
        <f t="shared" si="6"/>
        <v>39</v>
      </c>
      <c r="B41" s="15">
        <v>6</v>
      </c>
      <c r="C41" s="15">
        <v>12</v>
      </c>
      <c r="D41" s="15">
        <v>10</v>
      </c>
      <c r="E41" s="15"/>
      <c r="F41" s="2"/>
      <c r="G41" s="15"/>
      <c r="H41" s="25">
        <f t="shared" si="5"/>
        <v>0</v>
      </c>
      <c r="I41" s="27">
        <f t="shared" si="1"/>
        <v>0</v>
      </c>
    </row>
    <row r="42" spans="1:9" x14ac:dyDescent="0.45">
      <c r="A42" s="14">
        <f t="shared" si="6"/>
        <v>40</v>
      </c>
      <c r="B42" s="15">
        <v>6</v>
      </c>
      <c r="C42" s="15">
        <v>15</v>
      </c>
      <c r="D42" s="15">
        <v>10</v>
      </c>
      <c r="E42" s="15"/>
      <c r="F42" s="2"/>
      <c r="G42" s="15"/>
      <c r="H42" s="25">
        <f t="shared" si="5"/>
        <v>0</v>
      </c>
      <c r="I42" s="27">
        <f t="shared" si="1"/>
        <v>0</v>
      </c>
    </row>
    <row r="43" spans="1:9" x14ac:dyDescent="0.45">
      <c r="A43" s="14">
        <f t="shared" si="6"/>
        <v>41</v>
      </c>
      <c r="B43" s="15">
        <v>6</v>
      </c>
      <c r="C43" s="15">
        <v>18</v>
      </c>
      <c r="D43" s="15">
        <v>10</v>
      </c>
      <c r="E43" s="15"/>
      <c r="F43" s="2"/>
      <c r="G43" s="15"/>
      <c r="H43" s="25">
        <f t="shared" si="5"/>
        <v>0</v>
      </c>
      <c r="I43" s="27">
        <f t="shared" si="1"/>
        <v>0</v>
      </c>
    </row>
    <row r="44" spans="1:9" x14ac:dyDescent="0.45">
      <c r="A44" s="14">
        <f t="shared" si="6"/>
        <v>42</v>
      </c>
      <c r="B44" s="15">
        <v>6</v>
      </c>
      <c r="C44" s="15">
        <v>20</v>
      </c>
      <c r="D44" s="15">
        <v>10</v>
      </c>
      <c r="E44" s="15"/>
      <c r="F44" s="2"/>
      <c r="G44" s="15"/>
      <c r="H44" s="25">
        <f t="shared" si="5"/>
        <v>0</v>
      </c>
      <c r="I44" s="27">
        <f t="shared" si="1"/>
        <v>0</v>
      </c>
    </row>
    <row r="45" spans="1:9" x14ac:dyDescent="0.45">
      <c r="A45" s="14">
        <f t="shared" si="6"/>
        <v>43</v>
      </c>
      <c r="B45" s="15">
        <v>6</v>
      </c>
      <c r="C45" s="15">
        <v>25</v>
      </c>
      <c r="D45" s="15">
        <v>10</v>
      </c>
      <c r="E45" s="15"/>
      <c r="F45" s="2"/>
      <c r="G45" s="15">
        <v>480</v>
      </c>
      <c r="H45" s="25">
        <f t="shared" si="5"/>
        <v>-480</v>
      </c>
      <c r="I45" s="27">
        <f t="shared" si="1"/>
        <v>0</v>
      </c>
    </row>
    <row r="46" spans="1:9" x14ac:dyDescent="0.45">
      <c r="A46" s="14">
        <f t="shared" si="6"/>
        <v>44</v>
      </c>
      <c r="B46" s="15">
        <v>6</v>
      </c>
      <c r="C46" s="15">
        <v>30</v>
      </c>
      <c r="D46" s="15">
        <v>10</v>
      </c>
      <c r="E46" s="15"/>
      <c r="F46" s="2"/>
      <c r="G46" s="15">
        <v>270</v>
      </c>
      <c r="H46" s="25">
        <f t="shared" si="5"/>
        <v>-270</v>
      </c>
      <c r="I46" s="27">
        <f t="shared" si="1"/>
        <v>0</v>
      </c>
    </row>
    <row r="47" spans="1:9" x14ac:dyDescent="0.45">
      <c r="A47" s="14">
        <f t="shared" si="6"/>
        <v>45</v>
      </c>
      <c r="B47" s="15">
        <v>6</v>
      </c>
      <c r="C47" s="15">
        <v>40</v>
      </c>
      <c r="D47" s="15">
        <v>10</v>
      </c>
      <c r="E47" s="15"/>
      <c r="F47" s="2"/>
      <c r="G47" s="15">
        <v>252</v>
      </c>
      <c r="H47" s="25">
        <f t="shared" si="5"/>
        <v>-252</v>
      </c>
      <c r="I47" s="27">
        <f t="shared" si="1"/>
        <v>0</v>
      </c>
    </row>
    <row r="48" spans="1:9" ht="14.65" thickBot="1" x14ac:dyDescent="0.5">
      <c r="A48" s="16">
        <f t="shared" si="6"/>
        <v>46</v>
      </c>
      <c r="B48" s="17">
        <v>6</v>
      </c>
      <c r="C48" s="17">
        <v>50</v>
      </c>
      <c r="D48" s="17">
        <v>10</v>
      </c>
      <c r="E48" s="17"/>
      <c r="F48" s="6"/>
      <c r="G48" s="17">
        <v>192</v>
      </c>
      <c r="H48" s="26">
        <f t="shared" si="5"/>
        <v>-192</v>
      </c>
      <c r="I48" s="28">
        <f t="shared" si="1"/>
        <v>0</v>
      </c>
    </row>
    <row r="49" spans="1:9" ht="14.65" thickBot="1" x14ac:dyDescent="0.5"/>
    <row r="50" spans="1:9" ht="21.4" thickBot="1" x14ac:dyDescent="0.7">
      <c r="A50" s="45" t="s">
        <v>12</v>
      </c>
      <c r="B50" s="46"/>
      <c r="C50" s="46"/>
      <c r="D50" s="46"/>
      <c r="E50" s="46"/>
      <c r="F50" s="46"/>
      <c r="G50" s="46"/>
      <c r="H50" s="47"/>
    </row>
    <row r="51" spans="1:9" ht="28.5" x14ac:dyDescent="0.45">
      <c r="A51" s="8" t="s">
        <v>0</v>
      </c>
      <c r="B51" s="7" t="s">
        <v>1</v>
      </c>
      <c r="C51" s="7" t="s">
        <v>2</v>
      </c>
      <c r="D51" s="7" t="s">
        <v>3</v>
      </c>
      <c r="E51" s="7" t="s">
        <v>4</v>
      </c>
      <c r="F51" s="7" t="s">
        <v>13</v>
      </c>
      <c r="G51" s="7" t="s">
        <v>5</v>
      </c>
      <c r="H51" s="24" t="s">
        <v>6</v>
      </c>
      <c r="I51" s="32" t="str">
        <f t="shared" si="1"/>
        <v>REQUIRED STOCK</v>
      </c>
    </row>
    <row r="52" spans="1:9" x14ac:dyDescent="0.45">
      <c r="A52" s="14">
        <f>ROW()-2</f>
        <v>50</v>
      </c>
      <c r="B52" s="15">
        <v>3</v>
      </c>
      <c r="C52" s="15">
        <v>12</v>
      </c>
      <c r="D52" s="15">
        <v>10</v>
      </c>
      <c r="E52" s="15"/>
      <c r="F52" s="15" t="s">
        <v>9</v>
      </c>
      <c r="G52" s="15"/>
      <c r="H52" s="25">
        <f>E52-G52</f>
        <v>0</v>
      </c>
      <c r="I52" s="27">
        <f t="shared" si="1"/>
        <v>0</v>
      </c>
    </row>
    <row r="53" spans="1:9" x14ac:dyDescent="0.45">
      <c r="A53" s="14">
        <f t="shared" ref="A53:A67" si="7">ROW()-2</f>
        <v>51</v>
      </c>
      <c r="B53" s="15">
        <v>3</v>
      </c>
      <c r="C53" s="15">
        <v>15</v>
      </c>
      <c r="D53" s="15">
        <v>10</v>
      </c>
      <c r="E53" s="15"/>
      <c r="F53" s="15" t="s">
        <v>9</v>
      </c>
      <c r="G53" s="15"/>
      <c r="H53" s="25">
        <f t="shared" ref="H53:H67" si="8">E53-G53</f>
        <v>0</v>
      </c>
      <c r="I53" s="27">
        <f t="shared" si="1"/>
        <v>0</v>
      </c>
    </row>
    <row r="54" spans="1:9" x14ac:dyDescent="0.45">
      <c r="A54" s="14">
        <f t="shared" si="7"/>
        <v>52</v>
      </c>
      <c r="B54" s="15">
        <v>3</v>
      </c>
      <c r="C54" s="15">
        <v>18</v>
      </c>
      <c r="D54" s="15">
        <v>10</v>
      </c>
      <c r="E54" s="15"/>
      <c r="F54" s="15" t="s">
        <v>9</v>
      </c>
      <c r="G54" s="15"/>
      <c r="H54" s="25">
        <f t="shared" si="8"/>
        <v>0</v>
      </c>
      <c r="I54" s="27">
        <f t="shared" si="1"/>
        <v>0</v>
      </c>
    </row>
    <row r="55" spans="1:9" x14ac:dyDescent="0.45">
      <c r="A55" s="14">
        <f t="shared" si="7"/>
        <v>53</v>
      </c>
      <c r="B55" s="15">
        <v>3</v>
      </c>
      <c r="C55" s="15">
        <v>20</v>
      </c>
      <c r="D55" s="15">
        <v>10</v>
      </c>
      <c r="E55" s="15"/>
      <c r="F55" s="15" t="s">
        <v>9</v>
      </c>
      <c r="G55" s="15"/>
      <c r="H55" s="25">
        <f t="shared" si="8"/>
        <v>0</v>
      </c>
      <c r="I55" s="27">
        <f t="shared" si="1"/>
        <v>0</v>
      </c>
    </row>
    <row r="56" spans="1:9" x14ac:dyDescent="0.45">
      <c r="A56" s="14">
        <f t="shared" si="7"/>
        <v>54</v>
      </c>
      <c r="B56" s="15">
        <v>3</v>
      </c>
      <c r="C56" s="15">
        <v>25</v>
      </c>
      <c r="D56" s="15">
        <v>10</v>
      </c>
      <c r="E56" s="15">
        <v>20</v>
      </c>
      <c r="F56" s="15" t="s">
        <v>9</v>
      </c>
      <c r="G56" s="15">
        <v>16</v>
      </c>
      <c r="H56" s="25">
        <f t="shared" si="8"/>
        <v>4</v>
      </c>
      <c r="I56" s="27">
        <f t="shared" si="1"/>
        <v>4</v>
      </c>
    </row>
    <row r="57" spans="1:9" x14ac:dyDescent="0.45">
      <c r="A57" s="14">
        <f t="shared" si="7"/>
        <v>55</v>
      </c>
      <c r="B57" s="15">
        <v>3</v>
      </c>
      <c r="C57" s="15">
        <v>30</v>
      </c>
      <c r="D57" s="15">
        <v>10</v>
      </c>
      <c r="E57" s="15"/>
      <c r="F57" s="15" t="s">
        <v>9</v>
      </c>
      <c r="G57" s="15"/>
      <c r="H57" s="25">
        <f t="shared" si="8"/>
        <v>0</v>
      </c>
      <c r="I57" s="27">
        <f t="shared" si="1"/>
        <v>0</v>
      </c>
    </row>
    <row r="58" spans="1:9" x14ac:dyDescent="0.45">
      <c r="A58" s="14">
        <f t="shared" si="7"/>
        <v>56</v>
      </c>
      <c r="B58" s="15">
        <v>3</v>
      </c>
      <c r="C58" s="15">
        <v>40</v>
      </c>
      <c r="D58" s="15">
        <v>10</v>
      </c>
      <c r="E58" s="15"/>
      <c r="F58" s="15" t="s">
        <v>9</v>
      </c>
      <c r="G58" s="15"/>
      <c r="H58" s="25">
        <f t="shared" si="8"/>
        <v>0</v>
      </c>
      <c r="I58" s="27">
        <f t="shared" si="1"/>
        <v>0</v>
      </c>
    </row>
    <row r="59" spans="1:9" x14ac:dyDescent="0.45">
      <c r="A59" s="14">
        <f t="shared" si="7"/>
        <v>57</v>
      </c>
      <c r="B59" s="15">
        <v>3</v>
      </c>
      <c r="C59" s="15">
        <v>50</v>
      </c>
      <c r="D59" s="15">
        <v>10</v>
      </c>
      <c r="E59" s="15"/>
      <c r="F59" s="15" t="s">
        <v>9</v>
      </c>
      <c r="G59" s="15"/>
      <c r="H59" s="25">
        <f t="shared" si="8"/>
        <v>0</v>
      </c>
      <c r="I59" s="27">
        <f t="shared" si="1"/>
        <v>0</v>
      </c>
    </row>
    <row r="60" spans="1:9" x14ac:dyDescent="0.45">
      <c r="A60" s="14">
        <f t="shared" si="7"/>
        <v>58</v>
      </c>
      <c r="B60" s="15">
        <v>6</v>
      </c>
      <c r="C60" s="15">
        <v>12</v>
      </c>
      <c r="D60" s="15">
        <v>10</v>
      </c>
      <c r="E60" s="15"/>
      <c r="F60" s="15" t="s">
        <v>9</v>
      </c>
      <c r="G60" s="15"/>
      <c r="H60" s="25">
        <f t="shared" si="8"/>
        <v>0</v>
      </c>
      <c r="I60" s="27">
        <f t="shared" si="1"/>
        <v>0</v>
      </c>
    </row>
    <row r="61" spans="1:9" x14ac:dyDescent="0.45">
      <c r="A61" s="14">
        <f t="shared" si="7"/>
        <v>59</v>
      </c>
      <c r="B61" s="15">
        <v>6</v>
      </c>
      <c r="C61" s="15">
        <v>15</v>
      </c>
      <c r="D61" s="15">
        <v>10</v>
      </c>
      <c r="E61" s="15"/>
      <c r="F61" s="15" t="s">
        <v>9</v>
      </c>
      <c r="G61" s="15"/>
      <c r="H61" s="25">
        <f t="shared" si="8"/>
        <v>0</v>
      </c>
      <c r="I61" s="27">
        <f t="shared" si="1"/>
        <v>0</v>
      </c>
    </row>
    <row r="62" spans="1:9" x14ac:dyDescent="0.45">
      <c r="A62" s="14">
        <f t="shared" si="7"/>
        <v>60</v>
      </c>
      <c r="B62" s="15">
        <v>6</v>
      </c>
      <c r="C62" s="15">
        <v>18</v>
      </c>
      <c r="D62" s="15">
        <v>10</v>
      </c>
      <c r="E62" s="15"/>
      <c r="F62" s="15" t="s">
        <v>9</v>
      </c>
      <c r="G62" s="15"/>
      <c r="H62" s="25">
        <f t="shared" si="8"/>
        <v>0</v>
      </c>
      <c r="I62" s="27">
        <f t="shared" si="1"/>
        <v>0</v>
      </c>
    </row>
    <row r="63" spans="1:9" x14ac:dyDescent="0.45">
      <c r="A63" s="14">
        <f t="shared" si="7"/>
        <v>61</v>
      </c>
      <c r="B63" s="15">
        <v>6</v>
      </c>
      <c r="C63" s="15">
        <v>20</v>
      </c>
      <c r="D63" s="15">
        <v>10</v>
      </c>
      <c r="E63" s="15"/>
      <c r="F63" s="15" t="s">
        <v>9</v>
      </c>
      <c r="G63" s="15"/>
      <c r="H63" s="25">
        <f t="shared" si="8"/>
        <v>0</v>
      </c>
      <c r="I63" s="27">
        <f t="shared" si="1"/>
        <v>0</v>
      </c>
    </row>
    <row r="64" spans="1:9" x14ac:dyDescent="0.45">
      <c r="A64" s="14">
        <f t="shared" si="7"/>
        <v>62</v>
      </c>
      <c r="B64" s="15">
        <v>6</v>
      </c>
      <c r="C64" s="15">
        <v>25</v>
      </c>
      <c r="D64" s="15">
        <v>10</v>
      </c>
      <c r="E64" s="15">
        <v>20</v>
      </c>
      <c r="F64" s="15" t="s">
        <v>9</v>
      </c>
      <c r="G64" s="15">
        <v>20</v>
      </c>
      <c r="H64" s="25">
        <f t="shared" si="8"/>
        <v>0</v>
      </c>
      <c r="I64" s="27">
        <f t="shared" si="1"/>
        <v>0</v>
      </c>
    </row>
    <row r="65" spans="1:9" x14ac:dyDescent="0.45">
      <c r="A65" s="14">
        <f t="shared" si="7"/>
        <v>63</v>
      </c>
      <c r="B65" s="15">
        <v>6</v>
      </c>
      <c r="C65" s="15">
        <v>30</v>
      </c>
      <c r="D65" s="15">
        <v>10</v>
      </c>
      <c r="E65" s="15"/>
      <c r="F65" s="15" t="s">
        <v>9</v>
      </c>
      <c r="G65" s="15"/>
      <c r="H65" s="25">
        <f t="shared" si="8"/>
        <v>0</v>
      </c>
      <c r="I65" s="27">
        <f t="shared" si="1"/>
        <v>0</v>
      </c>
    </row>
    <row r="66" spans="1:9" x14ac:dyDescent="0.45">
      <c r="A66" s="14">
        <f t="shared" si="7"/>
        <v>64</v>
      </c>
      <c r="B66" s="15">
        <v>6</v>
      </c>
      <c r="C66" s="15">
        <v>40</v>
      </c>
      <c r="D66" s="15">
        <v>10</v>
      </c>
      <c r="E66" s="15"/>
      <c r="F66" s="15" t="s">
        <v>9</v>
      </c>
      <c r="G66" s="15"/>
      <c r="H66" s="25">
        <f t="shared" si="8"/>
        <v>0</v>
      </c>
      <c r="I66" s="27">
        <f t="shared" si="1"/>
        <v>0</v>
      </c>
    </row>
    <row r="67" spans="1:9" x14ac:dyDescent="0.45">
      <c r="A67" s="14">
        <f t="shared" si="7"/>
        <v>65</v>
      </c>
      <c r="B67" s="15">
        <v>6</v>
      </c>
      <c r="C67" s="15">
        <v>50</v>
      </c>
      <c r="D67" s="15">
        <v>10</v>
      </c>
      <c r="E67" s="15"/>
      <c r="F67" s="15" t="s">
        <v>9</v>
      </c>
      <c r="G67" s="15"/>
      <c r="H67" s="25">
        <f t="shared" si="8"/>
        <v>0</v>
      </c>
      <c r="I67" s="27">
        <f t="shared" ref="I67:I83" si="9">IF(H67&gt;0, H67, 0)</f>
        <v>0</v>
      </c>
    </row>
    <row r="68" spans="1:9" x14ac:dyDescent="0.45">
      <c r="A68" s="14"/>
      <c r="B68" s="18"/>
      <c r="C68" s="18"/>
      <c r="D68" s="18"/>
      <c r="E68" s="18"/>
      <c r="F68" s="18"/>
      <c r="G68" s="15"/>
      <c r="H68" s="25"/>
      <c r="I68" s="27">
        <f t="shared" si="9"/>
        <v>0</v>
      </c>
    </row>
    <row r="69" spans="1:9" ht="14.65" thickBot="1" x14ac:dyDescent="0.5">
      <c r="A69" s="14"/>
      <c r="B69" s="18"/>
      <c r="C69" s="18"/>
      <c r="D69" s="18"/>
      <c r="E69" s="18"/>
      <c r="F69" s="18"/>
      <c r="G69" s="15"/>
      <c r="H69" s="25"/>
      <c r="I69" s="28">
        <f t="shared" si="9"/>
        <v>0</v>
      </c>
    </row>
    <row r="71" spans="1:9" ht="21.4" thickBot="1" x14ac:dyDescent="0.7">
      <c r="A71" s="38" t="s">
        <v>14</v>
      </c>
      <c r="B71" s="38"/>
      <c r="C71" s="38"/>
      <c r="D71" s="38"/>
      <c r="E71" s="38"/>
      <c r="F71" s="38"/>
      <c r="G71" s="38"/>
      <c r="H71" s="38"/>
    </row>
    <row r="72" spans="1:9" ht="42.75" x14ac:dyDescent="0.45">
      <c r="A72" s="9" t="s">
        <v>0</v>
      </c>
      <c r="B72" s="10" t="s">
        <v>1</v>
      </c>
      <c r="C72" s="10" t="s">
        <v>2</v>
      </c>
      <c r="D72" s="10" t="s">
        <v>3</v>
      </c>
      <c r="E72" s="10" t="s">
        <v>7</v>
      </c>
      <c r="F72" s="7" t="s">
        <v>13</v>
      </c>
      <c r="G72" s="10" t="s">
        <v>5</v>
      </c>
      <c r="H72" s="29" t="s">
        <v>6</v>
      </c>
      <c r="I72" s="32" t="str">
        <f t="shared" si="9"/>
        <v>REQUIRED STOCK</v>
      </c>
    </row>
    <row r="73" spans="1:9" x14ac:dyDescent="0.45">
      <c r="A73" s="3">
        <f>ROW()-2</f>
        <v>71</v>
      </c>
      <c r="B73" s="2">
        <v>3</v>
      </c>
      <c r="C73" s="2">
        <v>12</v>
      </c>
      <c r="D73" s="2">
        <v>10</v>
      </c>
      <c r="E73" s="2"/>
      <c r="F73" s="2"/>
      <c r="G73" s="2"/>
      <c r="H73" s="30">
        <f>F73-G73</f>
        <v>0</v>
      </c>
      <c r="I73" s="27">
        <f t="shared" si="9"/>
        <v>0</v>
      </c>
    </row>
    <row r="74" spans="1:9" x14ac:dyDescent="0.45">
      <c r="A74" s="3">
        <f t="shared" ref="A74:A83" si="10">ROW()-2</f>
        <v>72</v>
      </c>
      <c r="B74" s="2">
        <v>3</v>
      </c>
      <c r="C74" s="2">
        <v>15</v>
      </c>
      <c r="D74" s="2">
        <v>10</v>
      </c>
      <c r="E74" s="2"/>
      <c r="F74" s="2"/>
      <c r="G74" s="2"/>
      <c r="H74" s="30">
        <f t="shared" ref="H74:H83" si="11">F74-G74</f>
        <v>0</v>
      </c>
      <c r="I74" s="27">
        <f t="shared" si="9"/>
        <v>0</v>
      </c>
    </row>
    <row r="75" spans="1:9" x14ac:dyDescent="0.45">
      <c r="A75" s="3">
        <f t="shared" si="10"/>
        <v>73</v>
      </c>
      <c r="B75" s="2">
        <v>3</v>
      </c>
      <c r="C75" s="2">
        <v>18</v>
      </c>
      <c r="D75" s="2">
        <v>10</v>
      </c>
      <c r="E75" s="2"/>
      <c r="F75" s="2"/>
      <c r="G75" s="2"/>
      <c r="H75" s="30">
        <f t="shared" si="11"/>
        <v>0</v>
      </c>
      <c r="I75" s="27">
        <f t="shared" si="9"/>
        <v>0</v>
      </c>
    </row>
    <row r="76" spans="1:9" x14ac:dyDescent="0.45">
      <c r="A76" s="3">
        <f t="shared" si="10"/>
        <v>74</v>
      </c>
      <c r="B76" s="2">
        <v>3</v>
      </c>
      <c r="C76" s="2">
        <v>20</v>
      </c>
      <c r="D76" s="2">
        <v>10</v>
      </c>
      <c r="E76" s="2"/>
      <c r="F76" s="2"/>
      <c r="G76" s="2"/>
      <c r="H76" s="30">
        <f t="shared" si="11"/>
        <v>0</v>
      </c>
      <c r="I76" s="27">
        <f t="shared" si="9"/>
        <v>0</v>
      </c>
    </row>
    <row r="77" spans="1:9" x14ac:dyDescent="0.45">
      <c r="A77" s="3">
        <f t="shared" si="10"/>
        <v>75</v>
      </c>
      <c r="B77" s="2">
        <v>3</v>
      </c>
      <c r="C77" s="2">
        <v>25</v>
      </c>
      <c r="D77" s="2">
        <v>10</v>
      </c>
      <c r="E77" s="2"/>
      <c r="F77" s="2"/>
      <c r="G77" s="2"/>
      <c r="H77" s="30">
        <f t="shared" si="11"/>
        <v>0</v>
      </c>
      <c r="I77" s="27">
        <f t="shared" si="9"/>
        <v>0</v>
      </c>
    </row>
    <row r="78" spans="1:9" x14ac:dyDescent="0.45">
      <c r="A78" s="3">
        <f t="shared" si="10"/>
        <v>76</v>
      </c>
      <c r="B78" s="2">
        <v>3</v>
      </c>
      <c r="C78" s="2">
        <v>30</v>
      </c>
      <c r="D78" s="2">
        <v>10</v>
      </c>
      <c r="E78" s="2"/>
      <c r="F78" s="2"/>
      <c r="G78" s="2"/>
      <c r="H78" s="30">
        <f t="shared" si="11"/>
        <v>0</v>
      </c>
      <c r="I78" s="27">
        <f t="shared" si="9"/>
        <v>0</v>
      </c>
    </row>
    <row r="79" spans="1:9" x14ac:dyDescent="0.45">
      <c r="A79" s="3">
        <f t="shared" si="10"/>
        <v>77</v>
      </c>
      <c r="B79" s="2">
        <v>3</v>
      </c>
      <c r="C79" s="2">
        <v>40</v>
      </c>
      <c r="D79" s="2">
        <v>10</v>
      </c>
      <c r="E79" s="2"/>
      <c r="F79" s="2"/>
      <c r="G79" s="2"/>
      <c r="H79" s="30">
        <f t="shared" si="11"/>
        <v>0</v>
      </c>
      <c r="I79" s="27">
        <f t="shared" si="9"/>
        <v>0</v>
      </c>
    </row>
    <row r="80" spans="1:9" x14ac:dyDescent="0.45">
      <c r="A80" s="3">
        <f t="shared" si="10"/>
        <v>78</v>
      </c>
      <c r="B80" s="2">
        <v>3</v>
      </c>
      <c r="C80" s="2">
        <v>50</v>
      </c>
      <c r="D80" s="2">
        <v>10</v>
      </c>
      <c r="E80" s="2"/>
      <c r="F80" s="2"/>
      <c r="G80" s="2"/>
      <c r="H80" s="30">
        <f t="shared" si="11"/>
        <v>0</v>
      </c>
      <c r="I80" s="27">
        <f t="shared" si="9"/>
        <v>0</v>
      </c>
    </row>
    <row r="81" spans="1:9" x14ac:dyDescent="0.45">
      <c r="A81" s="3">
        <f t="shared" si="10"/>
        <v>79</v>
      </c>
      <c r="B81" s="2"/>
      <c r="C81" s="2"/>
      <c r="D81" s="2"/>
      <c r="E81" s="2"/>
      <c r="F81" s="2"/>
      <c r="G81" s="2"/>
      <c r="H81" s="30">
        <f t="shared" si="11"/>
        <v>0</v>
      </c>
      <c r="I81" s="27">
        <f t="shared" si="9"/>
        <v>0</v>
      </c>
    </row>
    <row r="82" spans="1:9" x14ac:dyDescent="0.45">
      <c r="A82" s="3">
        <f t="shared" si="10"/>
        <v>80</v>
      </c>
      <c r="B82" s="2"/>
      <c r="C82" s="2"/>
      <c r="D82" s="2"/>
      <c r="E82" s="2"/>
      <c r="F82" s="2"/>
      <c r="G82" s="2"/>
      <c r="H82" s="30">
        <f t="shared" si="11"/>
        <v>0</v>
      </c>
      <c r="I82" s="27">
        <f t="shared" si="9"/>
        <v>0</v>
      </c>
    </row>
    <row r="83" spans="1:9" ht="14.65" thickBot="1" x14ac:dyDescent="0.5">
      <c r="A83" s="3">
        <f t="shared" si="10"/>
        <v>81</v>
      </c>
      <c r="B83" s="2"/>
      <c r="C83" s="2"/>
      <c r="D83" s="2"/>
      <c r="E83" s="2"/>
      <c r="F83" s="2"/>
      <c r="G83" s="2"/>
      <c r="H83" s="30">
        <f t="shared" si="11"/>
        <v>0</v>
      </c>
      <c r="I83" s="28">
        <f t="shared" si="9"/>
        <v>0</v>
      </c>
    </row>
  </sheetData>
  <mergeCells count="5">
    <mergeCell ref="A1:I1"/>
    <mergeCell ref="A71:H71"/>
    <mergeCell ref="A24:H24"/>
    <mergeCell ref="A34:H34"/>
    <mergeCell ref="A50:H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FB75-E0BE-423D-9CB8-68B7794CE17D}">
  <dimension ref="A1:I25"/>
  <sheetViews>
    <sheetView topLeftCell="A16" workbookViewId="0">
      <selection activeCell="L25" sqref="L25"/>
    </sheetView>
  </sheetViews>
  <sheetFormatPr defaultRowHeight="14.25" x14ac:dyDescent="0.45"/>
  <cols>
    <col min="1" max="1" width="9.1328125" style="1"/>
    <col min="2" max="2" width="18.86328125" customWidth="1"/>
    <col min="4" max="4" width="18" customWidth="1"/>
  </cols>
  <sheetData>
    <row r="1" spans="1:9" ht="21.4" thickBot="1" x14ac:dyDescent="0.7">
      <c r="A1" s="36" t="s">
        <v>16</v>
      </c>
      <c r="B1" s="37"/>
      <c r="C1" s="37"/>
      <c r="D1" s="37"/>
      <c r="E1" s="37"/>
    </row>
    <row r="2" spans="1:9" ht="28.5" x14ac:dyDescent="0.45">
      <c r="A2" s="11" t="s">
        <v>0</v>
      </c>
      <c r="B2" s="12" t="s">
        <v>1</v>
      </c>
      <c r="C2" s="12" t="s">
        <v>2</v>
      </c>
      <c r="D2" s="12" t="s">
        <v>3</v>
      </c>
      <c r="E2" s="21" t="s">
        <v>6</v>
      </c>
    </row>
    <row r="3" spans="1:9" x14ac:dyDescent="0.45">
      <c r="A3" s="14">
        <v>5</v>
      </c>
      <c r="B3" s="15">
        <v>3</v>
      </c>
      <c r="C3" s="15">
        <v>30</v>
      </c>
      <c r="D3" s="15">
        <v>10</v>
      </c>
      <c r="E3" s="4">
        <v>1030</v>
      </c>
    </row>
    <row r="4" spans="1:9" x14ac:dyDescent="0.45">
      <c r="A4" s="14">
        <v>6</v>
      </c>
      <c r="B4" s="15">
        <v>3</v>
      </c>
      <c r="C4" s="15">
        <v>40</v>
      </c>
      <c r="D4" s="15">
        <v>10</v>
      </c>
      <c r="E4" s="4">
        <v>300</v>
      </c>
    </row>
    <row r="5" spans="1:9" x14ac:dyDescent="0.45">
      <c r="A5" s="14">
        <v>9</v>
      </c>
      <c r="B5" s="15">
        <v>4</v>
      </c>
      <c r="C5" s="15">
        <v>20</v>
      </c>
      <c r="D5" s="15">
        <v>10</v>
      </c>
      <c r="E5" s="4">
        <v>3000</v>
      </c>
    </row>
    <row r="6" spans="1:9" x14ac:dyDescent="0.45">
      <c r="A6" s="14">
        <v>10</v>
      </c>
      <c r="B6" s="15">
        <v>4</v>
      </c>
      <c r="C6" s="15">
        <v>30</v>
      </c>
      <c r="D6" s="15">
        <v>10</v>
      </c>
      <c r="E6" s="4">
        <v>660</v>
      </c>
    </row>
    <row r="7" spans="1:9" x14ac:dyDescent="0.45">
      <c r="A7" s="14">
        <v>11</v>
      </c>
      <c r="B7" s="15">
        <v>5</v>
      </c>
      <c r="C7" s="15">
        <v>12</v>
      </c>
      <c r="D7" s="15">
        <v>10</v>
      </c>
      <c r="E7" s="4">
        <v>1072</v>
      </c>
    </row>
    <row r="8" spans="1:9" x14ac:dyDescent="0.45">
      <c r="A8" s="14">
        <v>14</v>
      </c>
      <c r="B8" s="15">
        <v>5</v>
      </c>
      <c r="C8" s="15">
        <v>25</v>
      </c>
      <c r="D8" s="15">
        <v>10</v>
      </c>
      <c r="E8" s="4">
        <v>656</v>
      </c>
    </row>
    <row r="9" spans="1:9" x14ac:dyDescent="0.45">
      <c r="A9" s="14">
        <v>16</v>
      </c>
      <c r="B9" s="15">
        <v>5</v>
      </c>
      <c r="C9" s="15">
        <v>40</v>
      </c>
      <c r="D9" s="15">
        <v>10</v>
      </c>
      <c r="E9" s="4">
        <v>318</v>
      </c>
    </row>
    <row r="10" spans="1:9" x14ac:dyDescent="0.45">
      <c r="A10" s="14">
        <v>17</v>
      </c>
      <c r="B10" s="15">
        <v>6</v>
      </c>
      <c r="C10" s="15">
        <v>12</v>
      </c>
      <c r="D10" s="15">
        <v>10</v>
      </c>
      <c r="E10" s="4">
        <v>1010</v>
      </c>
    </row>
    <row r="13" spans="1:9" ht="14.65" thickBot="1" x14ac:dyDescent="0.5"/>
    <row r="14" spans="1:9" ht="21.4" thickBot="1" x14ac:dyDescent="0.7">
      <c r="A14" s="39" t="s">
        <v>10</v>
      </c>
      <c r="B14" s="40"/>
      <c r="C14" s="40"/>
      <c r="D14" s="40"/>
      <c r="E14" s="40"/>
      <c r="F14" s="40"/>
      <c r="G14" s="40"/>
      <c r="H14" s="41"/>
      <c r="I14" s="1"/>
    </row>
    <row r="15" spans="1:9" ht="28.5" x14ac:dyDescent="0.45">
      <c r="A15" s="11" t="s">
        <v>0</v>
      </c>
      <c r="B15" s="12" t="s">
        <v>1</v>
      </c>
      <c r="C15" s="12" t="s">
        <v>2</v>
      </c>
      <c r="D15" s="12" t="s">
        <v>3</v>
      </c>
      <c r="E15" s="12" t="s">
        <v>4</v>
      </c>
      <c r="F15" s="12" t="s">
        <v>8</v>
      </c>
      <c r="G15" s="12" t="s">
        <v>5</v>
      </c>
      <c r="H15" s="12" t="s">
        <v>6</v>
      </c>
      <c r="I15" s="31" t="str">
        <f t="shared" ref="I15:I18" si="0">IF(H15&gt;0, H15, 0)</f>
        <v>REQUIRED STOCK</v>
      </c>
    </row>
    <row r="16" spans="1:9" x14ac:dyDescent="0.45">
      <c r="A16" s="3">
        <f>ROW()-2</f>
        <v>14</v>
      </c>
      <c r="B16" s="2">
        <v>3</v>
      </c>
      <c r="C16" s="2">
        <v>20</v>
      </c>
      <c r="D16" s="2">
        <v>10</v>
      </c>
      <c r="E16" s="2">
        <v>15</v>
      </c>
      <c r="F16" s="2" t="s">
        <v>9</v>
      </c>
      <c r="G16" s="2"/>
      <c r="H16" s="2">
        <f>E16-G16</f>
        <v>15</v>
      </c>
      <c r="I16" s="4">
        <f t="shared" si="0"/>
        <v>15</v>
      </c>
    </row>
    <row r="17" spans="1:9" x14ac:dyDescent="0.45">
      <c r="A17" s="3">
        <f t="shared" ref="A17:A18" si="1">ROW()-2</f>
        <v>15</v>
      </c>
      <c r="B17" s="2">
        <v>3</v>
      </c>
      <c r="C17" s="2">
        <v>25</v>
      </c>
      <c r="D17" s="2">
        <v>10</v>
      </c>
      <c r="E17" s="2">
        <v>20</v>
      </c>
      <c r="F17" s="2" t="s">
        <v>9</v>
      </c>
      <c r="G17" s="2">
        <v>14</v>
      </c>
      <c r="H17" s="2">
        <f t="shared" ref="H17:H18" si="2">E17-G17</f>
        <v>6</v>
      </c>
      <c r="I17" s="4">
        <f t="shared" si="0"/>
        <v>6</v>
      </c>
    </row>
    <row r="18" spans="1:9" x14ac:dyDescent="0.45">
      <c r="A18" s="3">
        <f t="shared" si="1"/>
        <v>16</v>
      </c>
      <c r="B18" s="2">
        <v>3</v>
      </c>
      <c r="C18" s="2">
        <v>30</v>
      </c>
      <c r="D18" s="2">
        <v>10</v>
      </c>
      <c r="E18" s="2">
        <v>25</v>
      </c>
      <c r="F18" s="2" t="s">
        <v>9</v>
      </c>
      <c r="G18" s="2"/>
      <c r="H18" s="2">
        <f t="shared" si="2"/>
        <v>25</v>
      </c>
      <c r="I18" s="4">
        <f t="shared" si="0"/>
        <v>25</v>
      </c>
    </row>
    <row r="19" spans="1:9" x14ac:dyDescent="0.45">
      <c r="A19"/>
    </row>
    <row r="20" spans="1:9" ht="14.65" thickBot="1" x14ac:dyDescent="0.5">
      <c r="A20"/>
    </row>
    <row r="21" spans="1:9" ht="21.4" thickBot="1" x14ac:dyDescent="0.7">
      <c r="A21" s="45" t="s">
        <v>12</v>
      </c>
      <c r="B21" s="46"/>
      <c r="C21" s="46"/>
      <c r="D21" s="46"/>
      <c r="E21" s="46"/>
      <c r="F21" s="46"/>
      <c r="G21" s="46"/>
      <c r="H21" s="47"/>
      <c r="I21" s="1"/>
    </row>
    <row r="22" spans="1:9" ht="28.5" x14ac:dyDescent="0.45">
      <c r="A22" s="8" t="s">
        <v>0</v>
      </c>
      <c r="B22" s="7" t="s">
        <v>1</v>
      </c>
      <c r="C22" s="7" t="s">
        <v>2</v>
      </c>
      <c r="D22" s="7" t="s">
        <v>3</v>
      </c>
      <c r="E22" s="7" t="s">
        <v>4</v>
      </c>
      <c r="F22" s="7" t="s">
        <v>13</v>
      </c>
      <c r="G22" s="7" t="s">
        <v>5</v>
      </c>
      <c r="H22" s="24" t="s">
        <v>6</v>
      </c>
      <c r="I22" s="32" t="s">
        <v>6</v>
      </c>
    </row>
    <row r="23" spans="1:9" x14ac:dyDescent="0.45">
      <c r="A23" s="14">
        <v>54</v>
      </c>
      <c r="B23" s="15">
        <v>3</v>
      </c>
      <c r="C23" s="15">
        <v>25</v>
      </c>
      <c r="D23" s="15">
        <v>10</v>
      </c>
      <c r="E23" s="15">
        <v>20</v>
      </c>
      <c r="F23" s="15" t="s">
        <v>9</v>
      </c>
      <c r="G23" s="15">
        <v>16</v>
      </c>
      <c r="H23" s="25">
        <v>4</v>
      </c>
      <c r="I23" s="27">
        <v>4</v>
      </c>
    </row>
    <row r="24" spans="1:9" x14ac:dyDescent="0.45">
      <c r="A24"/>
    </row>
    <row r="25" spans="1:9" x14ac:dyDescent="0.45">
      <c r="A25"/>
    </row>
  </sheetData>
  <mergeCells count="3">
    <mergeCell ref="A1:E1"/>
    <mergeCell ref="A14:H14"/>
    <mergeCell ref="A2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danishdannyv7@gmail.com</cp:lastModifiedBy>
  <cp:lastPrinted>2025-03-17T09:59:02Z</cp:lastPrinted>
  <dcterms:created xsi:type="dcterms:W3CDTF">2025-03-08T08:10:34Z</dcterms:created>
  <dcterms:modified xsi:type="dcterms:W3CDTF">2025-03-30T09:06:28Z</dcterms:modified>
</cp:coreProperties>
</file>