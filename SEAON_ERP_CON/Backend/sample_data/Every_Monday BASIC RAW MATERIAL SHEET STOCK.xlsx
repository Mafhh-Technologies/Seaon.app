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h\Desktop\Final Stock feeding sheets\"/>
    </mc:Choice>
  </mc:AlternateContent>
  <xr:revisionPtr revIDLastSave="0" documentId="13_ncr:1_{1EAC6F11-8973-4FDB-8AC7-8785B9B280E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ock Sheet" sheetId="1" r:id="rId1"/>
  </sheets>
  <definedNames>
    <definedName name="_xlnm._FilterDatabase" localSheetId="0" hidden="1">'Stock Sheet'!$A$2:$G$9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A4" i="1"/>
  <c r="A5" i="1"/>
  <c r="A6" i="1"/>
  <c r="A7" i="1"/>
  <c r="A8" i="1"/>
  <c r="A9" i="1"/>
  <c r="A3" i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</calcChain>
</file>

<file path=xl/sharedStrings.xml><?xml version="1.0" encoding="utf-8"?>
<sst xmlns="http://schemas.openxmlformats.org/spreadsheetml/2006/main" count="21" uniqueCount="18">
  <si>
    <t>S.No</t>
  </si>
  <si>
    <t>Item</t>
  </si>
  <si>
    <t>Available Stock</t>
  </si>
  <si>
    <t>Required Stock</t>
  </si>
  <si>
    <t>Paper Core (Seaon Printed)</t>
  </si>
  <si>
    <t>Plastic Core (Black)</t>
  </si>
  <si>
    <t>Hotmelt Adhesive</t>
  </si>
  <si>
    <t>Cover 14 x 14</t>
  </si>
  <si>
    <t>Cover 11 x 11</t>
  </si>
  <si>
    <t>MINIMUM STOCK</t>
  </si>
  <si>
    <t>Unit of Measure</t>
  </si>
  <si>
    <t>Nos</t>
  </si>
  <si>
    <t>Kg</t>
  </si>
  <si>
    <t>Toluene Chemical (200 kg each)</t>
  </si>
  <si>
    <t>Drums</t>
  </si>
  <si>
    <t>Pidilite Gum (236 kg each)</t>
  </si>
  <si>
    <t>Every Monday Basic Raw Material Sheet Stock</t>
  </si>
  <si>
    <t>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</si>
</sst>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14" fontId="1" fillId="0" borderId="0" xfId="0" applyNumberFormat="1" applyFont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Normal="100" workbookViewId="0">
      <selection activeCell="K5" sqref="K5"/>
    </sheetView>
  </sheetViews>
  <sheetFormatPr defaultColWidth="9" defaultRowHeight="14.25" x14ac:dyDescent="0.45"/>
  <cols>
    <col min="1" max="1" width="7.265625" style="1" customWidth="1"/>
    <col min="2" max="2" width="28.59765625" style="7" customWidth="1"/>
    <col min="3" max="3" width="12.1328125" style="1" customWidth="1"/>
    <col min="4" max="4" width="11.1328125" style="1" customWidth="1"/>
    <col min="5" max="5" width="10" style="1" customWidth="1"/>
    <col min="6" max="6" width="9.1328125" style="1" customWidth="1"/>
    <col min="7" max="7" width="11.73046875" style="1" customWidth="1"/>
    <col min="8" max="8" width="9.9296875" style="1" bestFit="1" customWidth="1"/>
    <col min="9" max="16384" width="9" style="1"/>
  </cols>
  <sheetData>
    <row r="1" spans="1:8" ht="14.65" thickBot="1" x14ac:dyDescent="0.5">
      <c r="A1" s="14" t="s">
        <v>16</v>
      </c>
      <c r="B1" s="14"/>
      <c r="C1" s="14"/>
      <c r="D1" s="14"/>
      <c r="E1" s="14"/>
      <c r="F1" s="14"/>
      <c r="G1" s="14"/>
      <c r="H1" s="13">
        <v>45745</v>
      </c>
    </row>
    <row r="2" spans="1:8" ht="28.9" thickBot="1" x14ac:dyDescent="0.5">
      <c r="A2" s="8" t="s">
        <v>0</v>
      </c>
      <c r="B2" s="9" t="s">
        <v>1</v>
      </c>
      <c r="C2" s="10" t="s">
        <v>9</v>
      </c>
      <c r="D2" s="10" t="s">
        <v>10</v>
      </c>
      <c r="E2" s="10" t="s">
        <v>2</v>
      </c>
      <c r="F2" s="10" t="s">
        <v>3</v>
      </c>
      <c r="G2" s="12" t="str">
        <f>IF(F2&gt;0, F2, 0)</f>
        <v>Required Stock</v>
      </c>
    </row>
    <row r="3" spans="1:8" ht="14.65" thickBot="1" x14ac:dyDescent="0.5">
      <c r="A3" s="3">
        <f>ROW()-2</f>
        <v>1</v>
      </c>
      <c r="B3" s="5" t="s">
        <v>4</v>
      </c>
      <c r="C3" s="2">
        <v>2000</v>
      </c>
      <c r="D3" s="2" t="s">
        <v>11</v>
      </c>
      <c r="E3" s="2">
        <v>1750</v>
      </c>
      <c r="F3" s="2">
        <f>C3-E3</f>
        <v>250</v>
      </c>
      <c r="G3" s="11">
        <f t="shared" ref="G3:G9" si="0">IF(F3&gt;0, F3, 0)</f>
        <v>250</v>
      </c>
    </row>
    <row r="4" spans="1:8" ht="14.65" thickBot="1" x14ac:dyDescent="0.5">
      <c r="A4" s="3">
        <f t="shared" ref="A4:A9" si="1">ROW()-2</f>
        <v>2</v>
      </c>
      <c r="B4" s="5" t="s">
        <v>5</v>
      </c>
      <c r="C4" s="2">
        <v>1000</v>
      </c>
      <c r="D4" s="2" t="s">
        <v>11</v>
      </c>
      <c r="E4" s="2">
        <v>662</v>
      </c>
      <c r="F4" s="2">
        <f t="shared" ref="F4:F9" si="2">C4-E4</f>
        <v>338</v>
      </c>
      <c r="G4" s="11">
        <f t="shared" si="0"/>
        <v>338</v>
      </c>
    </row>
    <row r="5" spans="1:8" ht="14.65" thickBot="1" x14ac:dyDescent="0.5">
      <c r="A5" s="3">
        <f t="shared" si="1"/>
        <v>3</v>
      </c>
      <c r="B5" s="5" t="s">
        <v>6</v>
      </c>
      <c r="C5" s="2">
        <v>2500</v>
      </c>
      <c r="D5" s="2" t="s">
        <v>12</v>
      </c>
      <c r="E5" s="2">
        <v>2500</v>
      </c>
      <c r="F5" s="2">
        <f t="shared" si="2"/>
        <v>0</v>
      </c>
      <c r="G5" s="11">
        <f t="shared" si="0"/>
        <v>0</v>
      </c>
    </row>
    <row r="6" spans="1:8" ht="14.65" thickBot="1" x14ac:dyDescent="0.5">
      <c r="A6" s="3">
        <f t="shared" si="1"/>
        <v>4</v>
      </c>
      <c r="B6" s="5" t="s">
        <v>13</v>
      </c>
      <c r="C6" s="2">
        <v>8</v>
      </c>
      <c r="D6" s="2" t="s">
        <v>14</v>
      </c>
      <c r="E6" s="2">
        <v>4</v>
      </c>
      <c r="F6" s="2">
        <f t="shared" si="2"/>
        <v>4</v>
      </c>
      <c r="G6" s="11">
        <f t="shared" si="0"/>
        <v>4</v>
      </c>
    </row>
    <row r="7" spans="1:8" ht="14.65" thickBot="1" x14ac:dyDescent="0.5">
      <c r="A7" s="3">
        <f t="shared" si="1"/>
        <v>5</v>
      </c>
      <c r="B7" s="5" t="s">
        <v>15</v>
      </c>
      <c r="C7" s="2">
        <v>5</v>
      </c>
      <c r="D7" s="2" t="s">
        <v>17</v>
      </c>
      <c r="E7" s="2">
        <v>2</v>
      </c>
      <c r="F7" s="2">
        <f t="shared" si="2"/>
        <v>3</v>
      </c>
      <c r="G7" s="11">
        <f t="shared" si="0"/>
        <v>3</v>
      </c>
    </row>
    <row r="8" spans="1:8" ht="14.65" thickBot="1" x14ac:dyDescent="0.5">
      <c r="A8" s="3">
        <f t="shared" si="1"/>
        <v>6</v>
      </c>
      <c r="B8" s="5" t="s">
        <v>7</v>
      </c>
      <c r="C8" s="2">
        <v>300</v>
      </c>
      <c r="D8" s="2" t="s">
        <v>12</v>
      </c>
      <c r="E8" s="2">
        <v>275</v>
      </c>
      <c r="F8" s="2">
        <f t="shared" si="2"/>
        <v>25</v>
      </c>
      <c r="G8" s="11">
        <f t="shared" si="0"/>
        <v>25</v>
      </c>
    </row>
    <row r="9" spans="1:8" ht="14.65" thickBot="1" x14ac:dyDescent="0.5">
      <c r="A9" s="3">
        <f t="shared" si="1"/>
        <v>7</v>
      </c>
      <c r="B9" s="6" t="s">
        <v>8</v>
      </c>
      <c r="C9" s="4">
        <v>150</v>
      </c>
      <c r="D9" s="4" t="s">
        <v>12</v>
      </c>
      <c r="E9" s="4">
        <v>146</v>
      </c>
      <c r="F9" s="4">
        <f t="shared" si="2"/>
        <v>4</v>
      </c>
      <c r="G9" s="11">
        <f t="shared" si="0"/>
        <v>4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danishdannyv7@gmail.com</cp:lastModifiedBy>
  <cp:lastPrinted>2025-03-15T05:39:29Z</cp:lastPrinted>
  <dcterms:created xsi:type="dcterms:W3CDTF">2025-03-09T07:04:51Z</dcterms:created>
  <dcterms:modified xsi:type="dcterms:W3CDTF">2025-03-30T09:39:23Z</dcterms:modified>
</cp:coreProperties>
</file>