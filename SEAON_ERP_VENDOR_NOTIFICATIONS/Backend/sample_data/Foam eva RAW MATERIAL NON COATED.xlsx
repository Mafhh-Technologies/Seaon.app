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h\Desktop\Final Stock feeding sheets\"/>
    </mc:Choice>
  </mc:AlternateContent>
  <xr:revisionPtr revIDLastSave="0" documentId="13_ncr:1_{8E93E258-6760-444F-99A7-2FE31B1E3AF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5" l="1"/>
  <c r="J28" i="5" s="1"/>
  <c r="I27" i="5"/>
  <c r="J27" i="5" s="1"/>
  <c r="I26" i="5"/>
  <c r="J26" i="5" s="1"/>
  <c r="I25" i="5"/>
  <c r="J25" i="5" s="1"/>
  <c r="I24" i="5"/>
  <c r="J24" i="5" s="1"/>
  <c r="I23" i="5"/>
  <c r="J23" i="5" s="1"/>
  <c r="A23" i="5"/>
  <c r="I22" i="5"/>
  <c r="J22" i="5" s="1"/>
  <c r="A22" i="5"/>
  <c r="I21" i="5"/>
  <c r="J21" i="5" s="1"/>
  <c r="A21" i="5"/>
  <c r="I20" i="5"/>
  <c r="J20" i="5" s="1"/>
  <c r="A20" i="5"/>
  <c r="I19" i="5"/>
  <c r="J19" i="5" s="1"/>
  <c r="A19" i="5"/>
  <c r="J18" i="5"/>
  <c r="I17" i="5"/>
  <c r="J17" i="5" s="1"/>
  <c r="A17" i="5"/>
  <c r="I16" i="5"/>
  <c r="J16" i="5" s="1"/>
  <c r="A16" i="5"/>
  <c r="I15" i="5"/>
  <c r="J15" i="5" s="1"/>
  <c r="A15" i="5"/>
  <c r="I14" i="5"/>
  <c r="J14" i="5" s="1"/>
  <c r="A14" i="5"/>
  <c r="I13" i="5"/>
  <c r="J13" i="5" s="1"/>
  <c r="A13" i="5"/>
  <c r="I12" i="5"/>
  <c r="J12" i="5" s="1"/>
  <c r="A12" i="5"/>
  <c r="I11" i="5"/>
  <c r="J11" i="5" s="1"/>
  <c r="A11" i="5"/>
  <c r="I10" i="5"/>
  <c r="J10" i="5" s="1"/>
  <c r="A10" i="5"/>
  <c r="I9" i="5"/>
  <c r="J9" i="5" s="1"/>
  <c r="A9" i="5"/>
  <c r="I8" i="5"/>
  <c r="J8" i="5" s="1"/>
  <c r="A8" i="5"/>
  <c r="I7" i="5"/>
  <c r="J7" i="5" s="1"/>
  <c r="A7" i="5"/>
  <c r="I6" i="5"/>
  <c r="J6" i="5" s="1"/>
  <c r="A6" i="5"/>
  <c r="I5" i="5"/>
  <c r="J5" i="5" s="1"/>
  <c r="A5" i="5"/>
  <c r="I4" i="5"/>
  <c r="J4" i="5" s="1"/>
  <c r="A4" i="5"/>
  <c r="I3" i="5"/>
  <c r="J3" i="5" s="1"/>
  <c r="A3" i="5"/>
  <c r="J2" i="5"/>
</calcChain>
</file>

<file path=xl/sharedStrings.xml><?xml version="1.0" encoding="utf-8"?>
<sst xmlns="http://schemas.openxmlformats.org/spreadsheetml/2006/main" count="87" uniqueCount="45">
  <si>
    <t>S.No</t>
  </si>
  <si>
    <t>Thickness (mm)</t>
  </si>
  <si>
    <t>MINIMUM STOCK</t>
  </si>
  <si>
    <t>REQUIRED STOCK</t>
  </si>
  <si>
    <t>AVAILABLE STOCK</t>
  </si>
  <si>
    <t>COLOUR</t>
  </si>
  <si>
    <t>NORMAL BLACK</t>
  </si>
  <si>
    <t>Z BLACK</t>
  </si>
  <si>
    <t>BLUE</t>
  </si>
  <si>
    <t>SOFT WHITE</t>
  </si>
  <si>
    <t>NORMAL WHITE</t>
  </si>
  <si>
    <t>3MM</t>
  </si>
  <si>
    <t>6 MM</t>
  </si>
  <si>
    <t>SIZE</t>
  </si>
  <si>
    <t>Unit of Measure</t>
  </si>
  <si>
    <t xml:space="preserve">3MM </t>
  </si>
  <si>
    <t>4MM</t>
  </si>
  <si>
    <t>5MM</t>
  </si>
  <si>
    <t>6MM</t>
  </si>
  <si>
    <t>8MM</t>
  </si>
  <si>
    <t>10MM</t>
  </si>
  <si>
    <t>1500 MM X 80 MTR  x120 sqm</t>
  </si>
  <si>
    <t>1500 MM X 60 MTR  x 90 sqm</t>
  </si>
  <si>
    <t>1500 MM X 40 MTR x 60 sqm</t>
  </si>
  <si>
    <t>1500 MM X 80 MTR  x 120 sqm</t>
  </si>
  <si>
    <t>1500 MM X 80 MTR x 120 sqm</t>
  </si>
  <si>
    <t>meters</t>
  </si>
  <si>
    <t>jumbo rolls</t>
  </si>
  <si>
    <t>normal whte</t>
  </si>
  <si>
    <t>6 mm</t>
  </si>
  <si>
    <t xml:space="preserve"> HD  3H Grade 1 x2 mtr</t>
  </si>
  <si>
    <t>black</t>
  </si>
  <si>
    <t>500 sheets each 2 sqm</t>
  </si>
  <si>
    <t>SQM</t>
  </si>
  <si>
    <t>ALUPET</t>
  </si>
  <si>
    <t>ALU+PET</t>
  </si>
  <si>
    <t>3 JUMBO</t>
  </si>
  <si>
    <t>UV BARRIER</t>
  </si>
  <si>
    <t>BLACK</t>
  </si>
  <si>
    <t>4 JUMBO 500 SQ</t>
  </si>
  <si>
    <t>NITRILE</t>
  </si>
  <si>
    <t>3 MM</t>
  </si>
  <si>
    <t>20 JUMBO 100 SQM EACH</t>
  </si>
  <si>
    <t>20 JUMBO 50 SQM EACH</t>
  </si>
  <si>
    <t xml:space="preserve">Raw Material NON-Coated Foam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</si>
</sst>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1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0052-339D-43BB-831D-90C26F3F2236}">
  <dimension ref="A1:K28"/>
  <sheetViews>
    <sheetView tabSelected="1" workbookViewId="0">
      <selection activeCell="O20" sqref="O20"/>
    </sheetView>
  </sheetViews>
  <sheetFormatPr defaultRowHeight="14.25" x14ac:dyDescent="0.45"/>
  <cols>
    <col min="1" max="1" width="5" style="1" customWidth="1"/>
    <col min="2" max="2" width="9.3984375" style="1" customWidth="1"/>
    <col min="3" max="3" width="24.9296875" style="1" customWidth="1"/>
    <col min="4" max="4" width="16.73046875" style="1" customWidth="1"/>
    <col min="5" max="5" width="15.06640625" style="1" customWidth="1"/>
    <col min="6" max="6" width="10.59765625" style="1" customWidth="1"/>
    <col min="7" max="7" width="9.86328125" style="1" customWidth="1"/>
    <col min="8" max="8" width="9.06640625" style="1"/>
    <col min="9" max="9" width="10.86328125" style="1" customWidth="1"/>
    <col min="10" max="10" width="10.265625" style="1" customWidth="1"/>
    <col min="11" max="11" width="9.9296875" style="1" bestFit="1" customWidth="1"/>
    <col min="12" max="16384" width="9.06640625" style="1"/>
  </cols>
  <sheetData>
    <row r="1" spans="1:11" ht="21" x14ac:dyDescent="0.65">
      <c r="A1" s="18" t="s">
        <v>44</v>
      </c>
      <c r="B1" s="19"/>
      <c r="C1" s="19"/>
      <c r="D1" s="19"/>
      <c r="E1" s="19"/>
      <c r="F1" s="19"/>
      <c r="G1" s="19"/>
      <c r="H1" s="19"/>
      <c r="I1" s="19"/>
      <c r="J1" s="11"/>
      <c r="K1" s="17">
        <v>45745</v>
      </c>
    </row>
    <row r="2" spans="1:11" s="13" customFormat="1" ht="28.5" x14ac:dyDescent="0.45">
      <c r="A2" s="7" t="s">
        <v>0</v>
      </c>
      <c r="B2" s="6" t="s">
        <v>1</v>
      </c>
      <c r="C2" s="5" t="s">
        <v>13</v>
      </c>
      <c r="D2" s="5" t="s">
        <v>5</v>
      </c>
      <c r="E2" s="6" t="s">
        <v>27</v>
      </c>
      <c r="F2" s="6" t="s">
        <v>2</v>
      </c>
      <c r="G2" s="6" t="s">
        <v>14</v>
      </c>
      <c r="H2" s="6" t="s">
        <v>4</v>
      </c>
      <c r="I2" s="6" t="s">
        <v>3</v>
      </c>
      <c r="J2" s="12" t="str">
        <f>IF(I2&gt;0, I2, 0)</f>
        <v>REQUIRED STOCK</v>
      </c>
    </row>
    <row r="3" spans="1:11" x14ac:dyDescent="0.45">
      <c r="A3" s="2">
        <f>ROW()-2</f>
        <v>1</v>
      </c>
      <c r="B3" s="3" t="s">
        <v>11</v>
      </c>
      <c r="C3" s="3" t="s">
        <v>25</v>
      </c>
      <c r="D3" s="3" t="s">
        <v>6</v>
      </c>
      <c r="E3" s="3">
        <v>55</v>
      </c>
      <c r="F3" s="3">
        <v>6600</v>
      </c>
      <c r="G3" s="3" t="s">
        <v>26</v>
      </c>
      <c r="H3" s="3">
        <v>2240</v>
      </c>
      <c r="I3" s="3">
        <f t="shared" ref="I3:I17" si="0">F3-H3</f>
        <v>4360</v>
      </c>
      <c r="J3" s="14">
        <f t="shared" ref="J3:J28" si="1">IF(I3&gt;0, I3, 0)</f>
        <v>4360</v>
      </c>
    </row>
    <row r="4" spans="1:11" x14ac:dyDescent="0.45">
      <c r="A4" s="2">
        <f t="shared" ref="A4:A23" si="2">ROW()-2</f>
        <v>2</v>
      </c>
      <c r="B4" s="3" t="s">
        <v>11</v>
      </c>
      <c r="C4" s="3" t="s">
        <v>24</v>
      </c>
      <c r="D4" s="3" t="s">
        <v>7</v>
      </c>
      <c r="E4" s="3">
        <v>10</v>
      </c>
      <c r="F4" s="3">
        <v>1200</v>
      </c>
      <c r="G4" s="3" t="s">
        <v>26</v>
      </c>
      <c r="H4" s="3">
        <v>1600</v>
      </c>
      <c r="I4" s="3">
        <f t="shared" si="0"/>
        <v>-400</v>
      </c>
      <c r="J4" s="14">
        <f t="shared" si="1"/>
        <v>0</v>
      </c>
    </row>
    <row r="5" spans="1:11" x14ac:dyDescent="0.45">
      <c r="A5" s="2">
        <f t="shared" si="2"/>
        <v>3</v>
      </c>
      <c r="B5" s="4" t="s">
        <v>11</v>
      </c>
      <c r="C5" s="3" t="s">
        <v>24</v>
      </c>
      <c r="D5" s="3" t="s">
        <v>8</v>
      </c>
      <c r="E5" s="4">
        <v>5</v>
      </c>
      <c r="F5" s="4">
        <v>600</v>
      </c>
      <c r="G5" s="3" t="s">
        <v>26</v>
      </c>
      <c r="H5" s="4">
        <v>0</v>
      </c>
      <c r="I5" s="3">
        <f t="shared" si="0"/>
        <v>600</v>
      </c>
      <c r="J5" s="14">
        <f t="shared" si="1"/>
        <v>600</v>
      </c>
    </row>
    <row r="6" spans="1:11" x14ac:dyDescent="0.45">
      <c r="A6" s="2">
        <f t="shared" si="2"/>
        <v>4</v>
      </c>
      <c r="B6" s="4" t="s">
        <v>11</v>
      </c>
      <c r="C6" s="3" t="s">
        <v>24</v>
      </c>
      <c r="D6" s="3" t="s">
        <v>9</v>
      </c>
      <c r="E6" s="4">
        <v>2</v>
      </c>
      <c r="F6" s="4">
        <v>240</v>
      </c>
      <c r="G6" s="3" t="s">
        <v>26</v>
      </c>
      <c r="H6" s="4"/>
      <c r="I6" s="3">
        <f t="shared" si="0"/>
        <v>240</v>
      </c>
      <c r="J6" s="14">
        <f t="shared" si="1"/>
        <v>240</v>
      </c>
    </row>
    <row r="7" spans="1:11" x14ac:dyDescent="0.45">
      <c r="A7" s="2">
        <f t="shared" si="2"/>
        <v>5</v>
      </c>
      <c r="B7" s="4" t="s">
        <v>15</v>
      </c>
      <c r="C7" s="3" t="s">
        <v>24</v>
      </c>
      <c r="D7" s="3" t="s">
        <v>10</v>
      </c>
      <c r="E7" s="4">
        <v>5</v>
      </c>
      <c r="F7" s="4">
        <v>600</v>
      </c>
      <c r="G7" s="3" t="s">
        <v>26</v>
      </c>
      <c r="H7" s="4"/>
      <c r="I7" s="3">
        <f t="shared" si="0"/>
        <v>600</v>
      </c>
      <c r="J7" s="14">
        <f t="shared" si="1"/>
        <v>600</v>
      </c>
    </row>
    <row r="8" spans="1:11" x14ac:dyDescent="0.45">
      <c r="A8" s="2">
        <f t="shared" si="2"/>
        <v>6</v>
      </c>
      <c r="B8" s="4"/>
      <c r="C8" s="4"/>
      <c r="D8" s="3"/>
      <c r="E8" s="4"/>
      <c r="F8" s="4"/>
      <c r="G8" s="3"/>
      <c r="H8" s="4"/>
      <c r="I8" s="3">
        <f t="shared" si="0"/>
        <v>0</v>
      </c>
      <c r="J8" s="14">
        <f t="shared" si="1"/>
        <v>0</v>
      </c>
    </row>
    <row r="9" spans="1:11" x14ac:dyDescent="0.45">
      <c r="A9" s="2">
        <f t="shared" si="2"/>
        <v>7</v>
      </c>
      <c r="B9" s="4" t="s">
        <v>16</v>
      </c>
      <c r="C9" s="3" t="s">
        <v>24</v>
      </c>
      <c r="D9" s="3" t="s">
        <v>6</v>
      </c>
      <c r="E9" s="4">
        <v>12</v>
      </c>
      <c r="F9" s="4">
        <v>1440</v>
      </c>
      <c r="G9" s="3" t="s">
        <v>26</v>
      </c>
      <c r="H9" s="4">
        <v>0</v>
      </c>
      <c r="I9" s="3">
        <f t="shared" si="0"/>
        <v>1440</v>
      </c>
      <c r="J9" s="14">
        <f t="shared" si="1"/>
        <v>1440</v>
      </c>
    </row>
    <row r="10" spans="1:11" x14ac:dyDescent="0.45">
      <c r="A10" s="2">
        <f t="shared" si="2"/>
        <v>8</v>
      </c>
      <c r="B10" s="4"/>
      <c r="C10" s="4"/>
      <c r="D10" s="3"/>
      <c r="E10" s="4"/>
      <c r="F10" s="4"/>
      <c r="G10" s="3"/>
      <c r="H10" s="4"/>
      <c r="I10" s="3">
        <f t="shared" si="0"/>
        <v>0</v>
      </c>
      <c r="J10" s="14">
        <f t="shared" si="1"/>
        <v>0</v>
      </c>
    </row>
    <row r="11" spans="1:11" x14ac:dyDescent="0.45">
      <c r="A11" s="2">
        <f t="shared" si="2"/>
        <v>9</v>
      </c>
      <c r="B11" s="4" t="s">
        <v>17</v>
      </c>
      <c r="C11" s="3" t="s">
        <v>24</v>
      </c>
      <c r="D11" s="3" t="s">
        <v>6</v>
      </c>
      <c r="E11" s="4">
        <v>14</v>
      </c>
      <c r="F11" s="4">
        <v>1680</v>
      </c>
      <c r="G11" s="3" t="s">
        <v>26</v>
      </c>
      <c r="H11" s="4">
        <v>0</v>
      </c>
      <c r="I11" s="3">
        <f t="shared" si="0"/>
        <v>1680</v>
      </c>
      <c r="J11" s="14">
        <f t="shared" si="1"/>
        <v>1680</v>
      </c>
    </row>
    <row r="12" spans="1:11" x14ac:dyDescent="0.45">
      <c r="A12" s="2">
        <f t="shared" si="2"/>
        <v>10</v>
      </c>
      <c r="B12" s="4" t="s">
        <v>17</v>
      </c>
      <c r="C12" s="3" t="s">
        <v>21</v>
      </c>
      <c r="D12" s="3" t="s">
        <v>10</v>
      </c>
      <c r="E12" s="4"/>
      <c r="F12" s="4">
        <v>450</v>
      </c>
      <c r="G12" s="3" t="s">
        <v>26</v>
      </c>
      <c r="H12" s="4"/>
      <c r="I12" s="3">
        <f t="shared" si="0"/>
        <v>450</v>
      </c>
      <c r="J12" s="14">
        <f t="shared" si="1"/>
        <v>450</v>
      </c>
    </row>
    <row r="13" spans="1:11" x14ac:dyDescent="0.45">
      <c r="A13" s="2">
        <f t="shared" si="2"/>
        <v>11</v>
      </c>
      <c r="B13" s="4"/>
      <c r="C13" s="4"/>
      <c r="D13" s="3"/>
      <c r="E13" s="4"/>
      <c r="F13" s="4"/>
      <c r="G13" s="3"/>
      <c r="H13" s="4"/>
      <c r="I13" s="3">
        <f t="shared" si="0"/>
        <v>0</v>
      </c>
      <c r="J13" s="14">
        <f t="shared" si="1"/>
        <v>0</v>
      </c>
    </row>
    <row r="14" spans="1:11" x14ac:dyDescent="0.45">
      <c r="A14" s="2">
        <f t="shared" si="2"/>
        <v>12</v>
      </c>
      <c r="B14" s="4" t="s">
        <v>18</v>
      </c>
      <c r="C14" s="3" t="s">
        <v>22</v>
      </c>
      <c r="D14" s="3" t="s">
        <v>6</v>
      </c>
      <c r="E14" s="4">
        <v>10</v>
      </c>
      <c r="F14" s="4">
        <v>900</v>
      </c>
      <c r="G14" s="3" t="s">
        <v>26</v>
      </c>
      <c r="H14" s="4">
        <v>0</v>
      </c>
      <c r="I14" s="3">
        <f t="shared" si="0"/>
        <v>900</v>
      </c>
      <c r="J14" s="14">
        <f t="shared" si="1"/>
        <v>900</v>
      </c>
    </row>
    <row r="15" spans="1:11" x14ac:dyDescent="0.45">
      <c r="A15" s="2">
        <f t="shared" si="2"/>
        <v>13</v>
      </c>
      <c r="B15" s="4" t="s">
        <v>18</v>
      </c>
      <c r="C15" s="3" t="s">
        <v>22</v>
      </c>
      <c r="D15" s="3" t="s">
        <v>7</v>
      </c>
      <c r="E15" s="4">
        <v>23</v>
      </c>
      <c r="F15" s="4">
        <v>2070</v>
      </c>
      <c r="G15" s="3" t="s">
        <v>26</v>
      </c>
      <c r="H15" s="4">
        <v>2520</v>
      </c>
      <c r="I15" s="3">
        <f t="shared" si="0"/>
        <v>-450</v>
      </c>
      <c r="J15" s="14">
        <f t="shared" si="1"/>
        <v>0</v>
      </c>
    </row>
    <row r="16" spans="1:11" x14ac:dyDescent="0.45">
      <c r="A16" s="2">
        <f t="shared" si="2"/>
        <v>14</v>
      </c>
      <c r="B16" s="4" t="s">
        <v>18</v>
      </c>
      <c r="C16" s="3" t="s">
        <v>22</v>
      </c>
      <c r="D16" s="3" t="s">
        <v>9</v>
      </c>
      <c r="E16" s="4">
        <v>2</v>
      </c>
      <c r="F16" s="4">
        <v>240</v>
      </c>
      <c r="G16" s="3" t="s">
        <v>26</v>
      </c>
      <c r="H16" s="4">
        <v>0</v>
      </c>
      <c r="I16" s="3">
        <f t="shared" si="0"/>
        <v>240</v>
      </c>
      <c r="J16" s="14">
        <f t="shared" si="1"/>
        <v>240</v>
      </c>
    </row>
    <row r="17" spans="1:10" x14ac:dyDescent="0.45">
      <c r="A17" s="2">
        <f t="shared" si="2"/>
        <v>15</v>
      </c>
      <c r="B17" s="4" t="s">
        <v>18</v>
      </c>
      <c r="C17" s="3" t="s">
        <v>22</v>
      </c>
      <c r="D17" s="3" t="s">
        <v>28</v>
      </c>
      <c r="E17" s="3">
        <v>5</v>
      </c>
      <c r="F17" s="4">
        <v>450</v>
      </c>
      <c r="G17" s="3" t="s">
        <v>26</v>
      </c>
      <c r="H17" s="4">
        <v>0</v>
      </c>
      <c r="I17" s="3">
        <f t="shared" si="0"/>
        <v>450</v>
      </c>
      <c r="J17" s="14">
        <f t="shared" si="1"/>
        <v>450</v>
      </c>
    </row>
    <row r="18" spans="1:10" x14ac:dyDescent="0.45">
      <c r="A18" s="2"/>
      <c r="B18" s="4"/>
      <c r="C18" s="3"/>
      <c r="D18" s="3"/>
      <c r="E18" s="3"/>
      <c r="F18" s="4"/>
      <c r="G18" s="3"/>
      <c r="H18" s="4"/>
      <c r="I18" s="3"/>
      <c r="J18" s="14">
        <f t="shared" si="1"/>
        <v>0</v>
      </c>
    </row>
    <row r="19" spans="1:10" x14ac:dyDescent="0.45">
      <c r="A19" s="2">
        <f t="shared" si="2"/>
        <v>17</v>
      </c>
      <c r="B19" s="4" t="s">
        <v>19</v>
      </c>
      <c r="C19" s="3" t="s">
        <v>23</v>
      </c>
      <c r="D19" s="3" t="s">
        <v>7</v>
      </c>
      <c r="E19" s="4">
        <v>17</v>
      </c>
      <c r="F19" s="4">
        <v>1020</v>
      </c>
      <c r="G19" s="3" t="s">
        <v>26</v>
      </c>
      <c r="H19" s="4">
        <v>0</v>
      </c>
      <c r="I19" s="3">
        <f t="shared" ref="I19:I28" si="3">F19-H19</f>
        <v>1020</v>
      </c>
      <c r="J19" s="14">
        <f t="shared" si="1"/>
        <v>1020</v>
      </c>
    </row>
    <row r="20" spans="1:10" x14ac:dyDescent="0.45">
      <c r="A20" s="2">
        <f t="shared" si="2"/>
        <v>18</v>
      </c>
      <c r="B20" s="4"/>
      <c r="C20" s="4"/>
      <c r="D20" s="4"/>
      <c r="E20" s="4"/>
      <c r="F20" s="4"/>
      <c r="G20" s="3"/>
      <c r="H20" s="4"/>
      <c r="I20" s="3">
        <f t="shared" si="3"/>
        <v>0</v>
      </c>
      <c r="J20" s="14">
        <f t="shared" si="1"/>
        <v>0</v>
      </c>
    </row>
    <row r="21" spans="1:10" x14ac:dyDescent="0.45">
      <c r="A21" s="2">
        <f t="shared" si="2"/>
        <v>19</v>
      </c>
      <c r="B21" s="4" t="s">
        <v>20</v>
      </c>
      <c r="C21" s="3" t="s">
        <v>23</v>
      </c>
      <c r="D21" s="3" t="s">
        <v>7</v>
      </c>
      <c r="E21" s="4">
        <v>9</v>
      </c>
      <c r="F21" s="4">
        <v>540</v>
      </c>
      <c r="G21" s="3" t="s">
        <v>26</v>
      </c>
      <c r="H21" s="4">
        <v>0</v>
      </c>
      <c r="I21" s="3">
        <f t="shared" si="3"/>
        <v>540</v>
      </c>
      <c r="J21" s="14">
        <f t="shared" si="1"/>
        <v>540</v>
      </c>
    </row>
    <row r="22" spans="1:10" x14ac:dyDescent="0.45">
      <c r="A22" s="2">
        <f t="shared" si="2"/>
        <v>20</v>
      </c>
      <c r="B22" s="4"/>
      <c r="C22" s="4"/>
      <c r="D22" s="4"/>
      <c r="E22" s="4"/>
      <c r="F22" s="4"/>
      <c r="G22" s="3"/>
      <c r="H22" s="4"/>
      <c r="I22" s="3">
        <f t="shared" si="3"/>
        <v>0</v>
      </c>
      <c r="J22" s="14">
        <f t="shared" si="1"/>
        <v>0</v>
      </c>
    </row>
    <row r="23" spans="1:10" ht="28.5" x14ac:dyDescent="0.45">
      <c r="A23" s="2">
        <f t="shared" si="2"/>
        <v>21</v>
      </c>
      <c r="B23" s="4" t="s">
        <v>29</v>
      </c>
      <c r="C23" s="4" t="s">
        <v>30</v>
      </c>
      <c r="D23" s="4" t="s">
        <v>31</v>
      </c>
      <c r="E23" s="15" t="s">
        <v>32</v>
      </c>
      <c r="F23" s="4">
        <v>1000</v>
      </c>
      <c r="G23" s="3" t="s">
        <v>26</v>
      </c>
      <c r="H23" s="4">
        <v>0</v>
      </c>
      <c r="I23" s="3">
        <f t="shared" si="3"/>
        <v>1000</v>
      </c>
      <c r="J23" s="14">
        <f t="shared" si="1"/>
        <v>1000</v>
      </c>
    </row>
    <row r="24" spans="1:10" x14ac:dyDescent="0.45">
      <c r="A24" s="2"/>
      <c r="B24" s="4"/>
      <c r="C24" s="4"/>
      <c r="D24" s="4"/>
      <c r="E24" s="4"/>
      <c r="F24" s="4"/>
      <c r="G24" s="3"/>
      <c r="H24" s="4"/>
      <c r="I24" s="3">
        <f t="shared" si="3"/>
        <v>0</v>
      </c>
      <c r="J24" s="14">
        <f t="shared" si="1"/>
        <v>0</v>
      </c>
    </row>
    <row r="25" spans="1:10" x14ac:dyDescent="0.45">
      <c r="A25" s="2">
        <v>22</v>
      </c>
      <c r="B25" s="4"/>
      <c r="C25" s="4" t="s">
        <v>34</v>
      </c>
      <c r="D25" s="4" t="s">
        <v>35</v>
      </c>
      <c r="E25" s="4" t="s">
        <v>36</v>
      </c>
      <c r="F25" s="4">
        <v>3000</v>
      </c>
      <c r="G25" s="3" t="s">
        <v>33</v>
      </c>
      <c r="H25" s="4">
        <v>2400</v>
      </c>
      <c r="I25" s="3">
        <f t="shared" si="3"/>
        <v>600</v>
      </c>
      <c r="J25" s="14">
        <f t="shared" si="1"/>
        <v>600</v>
      </c>
    </row>
    <row r="26" spans="1:10" x14ac:dyDescent="0.45">
      <c r="A26" s="2">
        <v>23</v>
      </c>
      <c r="B26" s="4"/>
      <c r="C26" s="4" t="s">
        <v>37</v>
      </c>
      <c r="D26" s="4" t="s">
        <v>38</v>
      </c>
      <c r="E26" s="4" t="s">
        <v>39</v>
      </c>
      <c r="F26" s="4">
        <v>2000</v>
      </c>
      <c r="G26" s="3" t="s">
        <v>33</v>
      </c>
      <c r="H26" s="4">
        <v>0</v>
      </c>
      <c r="I26" s="3">
        <f t="shared" si="3"/>
        <v>2000</v>
      </c>
      <c r="J26" s="14">
        <f t="shared" si="1"/>
        <v>2000</v>
      </c>
    </row>
    <row r="27" spans="1:10" ht="28.5" x14ac:dyDescent="0.45">
      <c r="A27" s="2"/>
      <c r="B27" s="4"/>
      <c r="C27" s="4" t="s">
        <v>40</v>
      </c>
      <c r="D27" s="4" t="s">
        <v>12</v>
      </c>
      <c r="E27" s="15" t="s">
        <v>43</v>
      </c>
      <c r="F27" s="4">
        <v>1000</v>
      </c>
      <c r="G27" s="3" t="s">
        <v>33</v>
      </c>
      <c r="H27" s="4">
        <v>2100</v>
      </c>
      <c r="I27" s="3">
        <f t="shared" si="3"/>
        <v>-1100</v>
      </c>
      <c r="J27" s="14">
        <f t="shared" si="1"/>
        <v>0</v>
      </c>
    </row>
    <row r="28" spans="1:10" ht="14.65" thickBot="1" x14ac:dyDescent="0.5">
      <c r="A28" s="8">
        <v>24</v>
      </c>
      <c r="B28" s="9"/>
      <c r="C28" s="9" t="s">
        <v>40</v>
      </c>
      <c r="D28" s="9" t="s">
        <v>41</v>
      </c>
      <c r="E28" s="9" t="s">
        <v>42</v>
      </c>
      <c r="F28" s="9">
        <v>2000</v>
      </c>
      <c r="G28" s="10" t="s">
        <v>33</v>
      </c>
      <c r="H28" s="9">
        <v>376</v>
      </c>
      <c r="I28" s="10">
        <f t="shared" si="3"/>
        <v>1624</v>
      </c>
      <c r="J28" s="16">
        <f t="shared" si="1"/>
        <v>1624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danishdannyv7@gmail.com</cp:lastModifiedBy>
  <cp:lastPrinted>2025-03-21T10:39:22Z</cp:lastPrinted>
  <dcterms:created xsi:type="dcterms:W3CDTF">2025-03-08T10:00:03Z</dcterms:created>
  <dcterms:modified xsi:type="dcterms:W3CDTF">2025-03-30T08:54:13Z</dcterms:modified>
</cp:coreProperties>
</file>